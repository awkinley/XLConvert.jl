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2.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28"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nrel.sharepoint.com/sites/HydroWIRESPSHCEM/Shared Documents/General/Cost Model/Spreadsheet/"/>
    </mc:Choice>
  </mc:AlternateContent>
  <xr:revisionPtr revIDLastSave="0" documentId="8_{5EA4BE8B-C301-4A28-B34B-1FF94DD56047}" xr6:coauthVersionLast="47" xr6:coauthVersionMax="47" xr10:uidLastSave="{00000000-0000-0000-0000-000000000000}"/>
  <bookViews>
    <workbookView xWindow="30210" yWindow="6810" windowWidth="27255" windowHeight="14190" xr2:uid="{53656929-E973-4E3B-988B-5888B82750E8}"/>
  </bookViews>
  <sheets>
    <sheet name="Definitions" sheetId="13" r:id="rId1"/>
    <sheet name="Cost Model L-PSH" sheetId="12" r:id="rId2"/>
    <sheet name="Cost Curves L-PSH" sheetId="3" r:id="rId3"/>
    <sheet name="Cost Model S-PSH" sheetId="15" r:id="rId4"/>
    <sheet name="Cost Curves S-PSH" sheetId="17" r:id="rId5"/>
    <sheet name="Market Adj Factors" sheetId="4" r:id="rId6"/>
    <sheet name="Locational Adj Factors" sheetId="5" r:id="rId7"/>
    <sheet name="Land Value Data" sheetId="6" r:id="rId8"/>
    <sheet name="Sensitivity Analysis" sheetId="19" r:id="rId9"/>
  </sheets>
  <definedNames>
    <definedName name="_xlnm._FilterDatabase" localSheetId="8" hidden="1">'Sensitivity Analysis'!$B$72:$H$85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0" i="12" l="1"/>
  <c r="E93" i="19" l="1"/>
  <c r="E94" i="19"/>
  <c r="E95" i="19"/>
  <c r="E96" i="19"/>
  <c r="E97" i="19"/>
  <c r="E98" i="19"/>
  <c r="E99" i="19"/>
  <c r="E92" i="19"/>
  <c r="D99" i="19"/>
  <c r="C99" i="19"/>
  <c r="D98" i="19"/>
  <c r="C98" i="19"/>
  <c r="D97" i="19"/>
  <c r="C97" i="19"/>
  <c r="D96" i="19"/>
  <c r="C96" i="19"/>
  <c r="D95" i="19"/>
  <c r="C95" i="19"/>
  <c r="D94" i="19"/>
  <c r="C94" i="19"/>
  <c r="D93" i="19"/>
  <c r="C93" i="19"/>
  <c r="D92" i="19"/>
  <c r="C92" i="19"/>
  <c r="H94" i="19" l="1"/>
  <c r="H93" i="19"/>
  <c r="H99" i="19"/>
  <c r="H95" i="19"/>
  <c r="H97" i="19"/>
  <c r="H96" i="19"/>
  <c r="H98" i="19"/>
  <c r="H92" i="19"/>
  <c r="C112" i="15"/>
  <c r="D82" i="19"/>
  <c r="C82" i="19"/>
  <c r="D85" i="19"/>
  <c r="C85" i="19"/>
  <c r="D84" i="19"/>
  <c r="C84" i="19"/>
  <c r="D83" i="19"/>
  <c r="C83" i="19"/>
  <c r="D80" i="19"/>
  <c r="C80" i="19"/>
  <c r="D79" i="19"/>
  <c r="C79" i="19"/>
  <c r="D81" i="19"/>
  <c r="D78" i="19"/>
  <c r="C78" i="19"/>
  <c r="C81" i="19"/>
  <c r="D77" i="19"/>
  <c r="C77" i="19"/>
  <c r="D76" i="19"/>
  <c r="C76" i="19"/>
  <c r="D75" i="19"/>
  <c r="C75" i="19"/>
  <c r="D73" i="19"/>
  <c r="C73" i="19"/>
  <c r="E73" i="19" l="1"/>
  <c r="E75" i="19"/>
  <c r="H75" i="19" s="1"/>
  <c r="E76" i="19"/>
  <c r="H76" i="19" s="1"/>
  <c r="E77" i="19"/>
  <c r="H77" i="19" s="1"/>
  <c r="E78" i="19"/>
  <c r="H78" i="19" s="1"/>
  <c r="E81" i="19"/>
  <c r="H81" i="19" s="1"/>
  <c r="E79" i="19"/>
  <c r="H79" i="19" s="1"/>
  <c r="E80" i="19"/>
  <c r="H80" i="19" s="1"/>
  <c r="E82" i="19"/>
  <c r="H82" i="19" s="1"/>
  <c r="E83" i="19"/>
  <c r="H83" i="19" s="1"/>
  <c r="E85" i="19"/>
  <c r="H85" i="19" s="1"/>
  <c r="E84" i="19"/>
  <c r="H84" i="19" s="1"/>
  <c r="E74" i="19"/>
  <c r="D74" i="19"/>
  <c r="C74" i="19"/>
  <c r="H73" i="19"/>
  <c r="H74" i="19" l="1"/>
  <c r="V130" i="3" l="1"/>
  <c r="V130" i="17"/>
  <c r="I47" i="12" l="1"/>
  <c r="C81" i="12" l="1"/>
  <c r="C85" i="12" s="1"/>
  <c r="C87" i="12" s="1"/>
  <c r="I45" i="12" l="1"/>
  <c r="I46" i="12"/>
  <c r="I34" i="12" l="1"/>
  <c r="C84" i="12" l="1"/>
  <c r="C83" i="12"/>
  <c r="I13" i="12" s="1"/>
  <c r="C88" i="12"/>
  <c r="AA130" i="3" s="1"/>
  <c r="B333" i="3"/>
  <c r="C109" i="12" l="1"/>
  <c r="C89" i="12"/>
  <c r="C82" i="12"/>
  <c r="J8" i="12"/>
  <c r="I45" i="15"/>
  <c r="I50" i="15"/>
  <c r="I49" i="15"/>
  <c r="I48" i="15"/>
  <c r="I47" i="15"/>
  <c r="I46" i="15"/>
  <c r="I50" i="12"/>
  <c r="I49" i="12"/>
  <c r="I48" i="12"/>
  <c r="I8" i="12"/>
  <c r="C108" i="12" l="1"/>
  <c r="C91" i="12"/>
  <c r="C118" i="15"/>
  <c r="C117" i="15"/>
  <c r="J33" i="15"/>
  <c r="B333" i="17"/>
  <c r="B332" i="17"/>
  <c r="D242" i="17"/>
  <c r="J34" i="15" s="1"/>
  <c r="E96" i="17"/>
  <c r="E97" i="17" s="1"/>
  <c r="E98" i="17" s="1"/>
  <c r="J96" i="17" s="1"/>
  <c r="J17" i="15" s="1"/>
  <c r="C96" i="17"/>
  <c r="C97" i="17" s="1"/>
  <c r="C98" i="17" s="1"/>
  <c r="AM53" i="17"/>
  <c r="AL53" i="17"/>
  <c r="AK53" i="17"/>
  <c r="AJ53" i="17"/>
  <c r="AI53" i="17"/>
  <c r="AH53" i="17"/>
  <c r="AG53" i="17"/>
  <c r="AF53" i="17"/>
  <c r="AC53" i="17"/>
  <c r="AB53" i="17"/>
  <c r="AA53" i="17"/>
  <c r="Z53" i="17"/>
  <c r="Y53" i="17"/>
  <c r="X53" i="17"/>
  <c r="W53" i="17"/>
  <c r="V53" i="17"/>
  <c r="S53" i="17"/>
  <c r="R53" i="17"/>
  <c r="Q53" i="17"/>
  <c r="P53" i="17"/>
  <c r="O53" i="17"/>
  <c r="N53" i="17"/>
  <c r="M53" i="17"/>
  <c r="L53" i="17"/>
  <c r="I53" i="17"/>
  <c r="H53" i="17"/>
  <c r="G53" i="17"/>
  <c r="F53" i="17"/>
  <c r="E53" i="17"/>
  <c r="D53" i="17"/>
  <c r="C53" i="17"/>
  <c r="B53" i="17"/>
  <c r="AM11" i="17"/>
  <c r="AL11" i="17"/>
  <c r="AK11" i="17"/>
  <c r="AJ11" i="17"/>
  <c r="AI11" i="17"/>
  <c r="AH11" i="17"/>
  <c r="AG11" i="17"/>
  <c r="AF11" i="17"/>
  <c r="AC11" i="17"/>
  <c r="AB11" i="17"/>
  <c r="AA11" i="17"/>
  <c r="Z11" i="17"/>
  <c r="Y11" i="17"/>
  <c r="X11" i="17"/>
  <c r="W11" i="17"/>
  <c r="V11" i="17"/>
  <c r="S11" i="17"/>
  <c r="R11" i="17"/>
  <c r="Q11" i="17"/>
  <c r="P11" i="17"/>
  <c r="O11" i="17"/>
  <c r="N11" i="17"/>
  <c r="M11" i="17"/>
  <c r="L11" i="17"/>
  <c r="I11" i="17"/>
  <c r="H11" i="17"/>
  <c r="G11" i="17"/>
  <c r="F11" i="17"/>
  <c r="E11" i="17"/>
  <c r="D11" i="17"/>
  <c r="C11" i="17"/>
  <c r="B11" i="17"/>
  <c r="K292" i="17"/>
  <c r="K291" i="17"/>
  <c r="I287" i="17" s="1"/>
  <c r="K290" i="17"/>
  <c r="G93" i="17"/>
  <c r="F93" i="17"/>
  <c r="G92" i="17"/>
  <c r="F92" i="17"/>
  <c r="G91" i="17"/>
  <c r="F91" i="17"/>
  <c r="G90" i="17"/>
  <c r="F90" i="17"/>
  <c r="G89" i="17"/>
  <c r="F89" i="17"/>
  <c r="G88" i="17"/>
  <c r="F88" i="17"/>
  <c r="G87" i="17"/>
  <c r="H95" i="17" s="1"/>
  <c r="F87" i="17"/>
  <c r="C84" i="15"/>
  <c r="I17" i="15" s="1"/>
  <c r="C83" i="15"/>
  <c r="I13" i="15" s="1"/>
  <c r="E96" i="3"/>
  <c r="E97" i="3" s="1"/>
  <c r="C96" i="3"/>
  <c r="I17" i="12"/>
  <c r="C92" i="12" l="1"/>
  <c r="C93" i="12" s="1"/>
  <c r="J95" i="17"/>
  <c r="J13" i="15" s="1"/>
  <c r="E98" i="3"/>
  <c r="J96" i="3" s="1"/>
  <c r="C97" i="3"/>
  <c r="C98" i="3" s="1"/>
  <c r="J95" i="3" s="1"/>
  <c r="J13" i="12" s="1"/>
  <c r="B337" i="17"/>
  <c r="H97" i="17"/>
  <c r="H98" i="17" s="1"/>
  <c r="I21" i="12" l="1"/>
  <c r="C94" i="12"/>
  <c r="H96" i="17"/>
  <c r="H90" i="17" s="1"/>
  <c r="J17" i="12"/>
  <c r="H87" i="17" l="1"/>
  <c r="H88" i="17"/>
  <c r="H93" i="17"/>
  <c r="H92" i="17"/>
  <c r="H89" i="17"/>
  <c r="H91" i="17"/>
  <c r="H95" i="3" l="1"/>
  <c r="H98" i="3" l="1"/>
  <c r="H96" i="3" s="1"/>
  <c r="H97" i="3"/>
  <c r="F88" i="3"/>
  <c r="G88" i="3"/>
  <c r="F89" i="3"/>
  <c r="G89" i="3"/>
  <c r="F90" i="3"/>
  <c r="G90" i="3"/>
  <c r="F91" i="3"/>
  <c r="G91" i="3"/>
  <c r="F92" i="3"/>
  <c r="G92" i="3"/>
  <c r="F93" i="3"/>
  <c r="G93" i="3"/>
  <c r="G87" i="3"/>
  <c r="F87" i="3"/>
  <c r="B53" i="3"/>
  <c r="H88" i="3" l="1"/>
  <c r="H87" i="3"/>
  <c r="H93" i="3"/>
  <c r="H92" i="3"/>
  <c r="H91" i="3"/>
  <c r="H90" i="3"/>
  <c r="H89" i="3"/>
  <c r="C88" i="15" l="1"/>
  <c r="AA130" i="17" s="1"/>
  <c r="C82" i="15"/>
  <c r="C81" i="15"/>
  <c r="C85" i="15" s="1"/>
  <c r="C80" i="15"/>
  <c r="C76" i="15"/>
  <c r="K42" i="15"/>
  <c r="J42" i="15"/>
  <c r="M39" i="15"/>
  <c r="L39" i="15"/>
  <c r="K39" i="15"/>
  <c r="I39" i="15"/>
  <c r="M37" i="15"/>
  <c r="L37" i="15"/>
  <c r="K37" i="15"/>
  <c r="I37" i="15"/>
  <c r="I35" i="15"/>
  <c r="M34" i="15"/>
  <c r="L34" i="15"/>
  <c r="K34" i="15"/>
  <c r="I34" i="15"/>
  <c r="M33" i="15"/>
  <c r="L33" i="15"/>
  <c r="K33" i="15"/>
  <c r="I33" i="15"/>
  <c r="M30" i="15"/>
  <c r="L30" i="15"/>
  <c r="K30" i="15"/>
  <c r="K29" i="15"/>
  <c r="K28" i="15"/>
  <c r="I28" i="15"/>
  <c r="M25" i="15"/>
  <c r="L25" i="15"/>
  <c r="K25" i="15"/>
  <c r="M24" i="15"/>
  <c r="L24" i="15"/>
  <c r="K24" i="15"/>
  <c r="M23" i="15"/>
  <c r="L23" i="15"/>
  <c r="K23" i="15"/>
  <c r="M22" i="15"/>
  <c r="L22" i="15"/>
  <c r="K22" i="15"/>
  <c r="M21" i="15"/>
  <c r="L21" i="15"/>
  <c r="K21" i="15"/>
  <c r="M20" i="15"/>
  <c r="L20" i="15"/>
  <c r="K20" i="15"/>
  <c r="M17" i="15"/>
  <c r="L17" i="15"/>
  <c r="K17" i="15"/>
  <c r="M16" i="15"/>
  <c r="L16" i="15"/>
  <c r="K16" i="15"/>
  <c r="M14" i="15"/>
  <c r="L14" i="15"/>
  <c r="K14" i="15"/>
  <c r="M13" i="15"/>
  <c r="L13" i="15"/>
  <c r="K13" i="15"/>
  <c r="M10" i="15"/>
  <c r="L10" i="15"/>
  <c r="K10" i="15"/>
  <c r="L8" i="15"/>
  <c r="J8" i="15"/>
  <c r="I8" i="15"/>
  <c r="J42" i="12"/>
  <c r="AM53" i="3"/>
  <c r="AL53" i="3"/>
  <c r="AK53" i="3"/>
  <c r="AJ53" i="3"/>
  <c r="AI53" i="3"/>
  <c r="AH53" i="3"/>
  <c r="AG53" i="3"/>
  <c r="AF53" i="3"/>
  <c r="AC53" i="3"/>
  <c r="AB53" i="3"/>
  <c r="AA53" i="3"/>
  <c r="Z53" i="3"/>
  <c r="Y53" i="3"/>
  <c r="X53" i="3"/>
  <c r="W53" i="3"/>
  <c r="V53" i="3"/>
  <c r="S53" i="3"/>
  <c r="R53" i="3"/>
  <c r="Q53" i="3"/>
  <c r="P53" i="3"/>
  <c r="O53" i="3"/>
  <c r="N53" i="3"/>
  <c r="M53" i="3"/>
  <c r="L53" i="3"/>
  <c r="I53" i="3"/>
  <c r="H53" i="3"/>
  <c r="G53" i="3"/>
  <c r="F53" i="3"/>
  <c r="E53" i="3"/>
  <c r="D53" i="3"/>
  <c r="C53" i="3"/>
  <c r="AM11" i="3"/>
  <c r="AL11" i="3"/>
  <c r="AK11" i="3"/>
  <c r="AJ11" i="3"/>
  <c r="AI11" i="3"/>
  <c r="AH11" i="3"/>
  <c r="AG11" i="3"/>
  <c r="AF11" i="3"/>
  <c r="AC11" i="3"/>
  <c r="AB11" i="3"/>
  <c r="AA11" i="3"/>
  <c r="Z11" i="3"/>
  <c r="Y11" i="3"/>
  <c r="X11" i="3"/>
  <c r="W11" i="3"/>
  <c r="V11" i="3"/>
  <c r="S11" i="3"/>
  <c r="R11" i="3"/>
  <c r="Q11" i="3"/>
  <c r="P11" i="3"/>
  <c r="O11" i="3"/>
  <c r="N11" i="3"/>
  <c r="M11" i="3"/>
  <c r="L11" i="3"/>
  <c r="I11" i="3"/>
  <c r="H11" i="3"/>
  <c r="G11" i="3"/>
  <c r="F11" i="3"/>
  <c r="E11" i="3"/>
  <c r="D11" i="3"/>
  <c r="C11" i="3"/>
  <c r="B11" i="3"/>
  <c r="C109" i="15" l="1"/>
  <c r="N8" i="15"/>
  <c r="N42" i="15"/>
  <c r="N13" i="15"/>
  <c r="N33" i="15"/>
  <c r="Q33" i="15" s="1"/>
  <c r="Q35" i="15" s="1"/>
  <c r="Q8" i="15"/>
  <c r="N17" i="15"/>
  <c r="Q17" i="15" s="1"/>
  <c r="C113" i="15"/>
  <c r="D363" i="17" s="1"/>
  <c r="D365" i="17" s="1"/>
  <c r="C87" i="15"/>
  <c r="C89" i="15"/>
  <c r="K42" i="12"/>
  <c r="K39" i="12"/>
  <c r="I28" i="12"/>
  <c r="C108" i="15" l="1"/>
  <c r="W213" i="17"/>
  <c r="W171" i="17"/>
  <c r="N213" i="17"/>
  <c r="N171" i="17"/>
  <c r="V213" i="17"/>
  <c r="V171" i="17"/>
  <c r="C171" i="17"/>
  <c r="B213" i="17"/>
  <c r="O213" i="17"/>
  <c r="O171" i="17"/>
  <c r="D213" i="17"/>
  <c r="AH213" i="17"/>
  <c r="AF213" i="17"/>
  <c r="M213" i="17"/>
  <c r="M171" i="17"/>
  <c r="D171" i="17"/>
  <c r="AI213" i="17"/>
  <c r="AH171" i="17"/>
  <c r="AF171" i="17"/>
  <c r="X213" i="17"/>
  <c r="L213" i="17"/>
  <c r="L171" i="17"/>
  <c r="E213" i="17"/>
  <c r="E171" i="17"/>
  <c r="B171" i="17"/>
  <c r="C213" i="17"/>
  <c r="AI171" i="17"/>
  <c r="X171" i="17"/>
  <c r="AG213" i="17"/>
  <c r="AG171" i="17"/>
  <c r="Y213" i="17"/>
  <c r="Y171" i="17"/>
  <c r="Q13" i="15"/>
  <c r="C95" i="15"/>
  <c r="C96" i="15" s="1"/>
  <c r="I15" i="15" s="1"/>
  <c r="C91" i="15"/>
  <c r="C90" i="15"/>
  <c r="I58" i="4"/>
  <c r="C47" i="4"/>
  <c r="C46" i="4"/>
  <c r="C92" i="15" l="1"/>
  <c r="C93" i="15" s="1"/>
  <c r="I21" i="15" s="1"/>
  <c r="C117" i="12"/>
  <c r="I39" i="12"/>
  <c r="I37" i="12"/>
  <c r="I35" i="12"/>
  <c r="I33" i="12"/>
  <c r="I16" i="15" l="1"/>
  <c r="I14" i="15"/>
  <c r="C94" i="15"/>
  <c r="AA95" i="17" l="1"/>
  <c r="Y95" i="17"/>
  <c r="X95" i="17"/>
  <c r="AI90" i="17"/>
  <c r="J21" i="15" s="1"/>
  <c r="Z95" i="17"/>
  <c r="AC95" i="17"/>
  <c r="AB95" i="17"/>
  <c r="V95" i="17"/>
  <c r="W95" i="17"/>
  <c r="C114" i="15"/>
  <c r="C115" i="15" s="1"/>
  <c r="C116" i="15" s="1"/>
  <c r="C98" i="15"/>
  <c r="C101" i="15" s="1"/>
  <c r="C104" i="15" s="1"/>
  <c r="C99" i="15"/>
  <c r="C102" i="15" s="1"/>
  <c r="C105" i="15" s="1"/>
  <c r="C106" i="15" s="1"/>
  <c r="I25" i="15" s="1"/>
  <c r="C97" i="15"/>
  <c r="C100" i="15" s="1"/>
  <c r="C103" i="15" s="1"/>
  <c r="K28" i="12"/>
  <c r="K29" i="12"/>
  <c r="C110" i="15" l="1"/>
  <c r="C86" i="15"/>
  <c r="E303" i="17"/>
  <c r="G303" i="17" s="1"/>
  <c r="J39" i="15" s="1"/>
  <c r="D303" i="17"/>
  <c r="B303" i="17"/>
  <c r="C303" i="17"/>
  <c r="J28" i="15"/>
  <c r="I10" i="15"/>
  <c r="I42" i="15"/>
  <c r="Q42" i="15" s="1"/>
  <c r="I30" i="15"/>
  <c r="B332" i="3"/>
  <c r="B337" i="3" s="1"/>
  <c r="D242" i="3"/>
  <c r="I23" i="15" l="1"/>
  <c r="I22" i="15"/>
  <c r="C111" i="15"/>
  <c r="C107" i="15"/>
  <c r="J10" i="15" s="1"/>
  <c r="L248" i="17"/>
  <c r="O248" i="17"/>
  <c r="N248" i="17"/>
  <c r="Q248" i="17" s="1"/>
  <c r="J37" i="15" s="1"/>
  <c r="M248" i="17"/>
  <c r="I29" i="15"/>
  <c r="D374" i="17"/>
  <c r="J34" i="12"/>
  <c r="N34" i="15"/>
  <c r="Q34" i="15" s="1"/>
  <c r="N42" i="12"/>
  <c r="M39" i="12"/>
  <c r="M37" i="12"/>
  <c r="K37" i="12"/>
  <c r="M34" i="12"/>
  <c r="K34" i="12"/>
  <c r="M33" i="12"/>
  <c r="K33" i="12"/>
  <c r="J33" i="12"/>
  <c r="M30" i="12"/>
  <c r="K30" i="12"/>
  <c r="M25" i="12"/>
  <c r="K25" i="12"/>
  <c r="M24" i="12"/>
  <c r="K24" i="12"/>
  <c r="M23" i="12"/>
  <c r="K23" i="12"/>
  <c r="M22" i="12"/>
  <c r="K22" i="12"/>
  <c r="M21" i="12"/>
  <c r="K21" i="12"/>
  <c r="M20" i="12"/>
  <c r="K20" i="12"/>
  <c r="M17" i="12"/>
  <c r="K17" i="12"/>
  <c r="M16" i="12"/>
  <c r="K16" i="12"/>
  <c r="M14" i="12"/>
  <c r="K14" i="12"/>
  <c r="M13" i="12"/>
  <c r="K13" i="12"/>
  <c r="M10" i="12"/>
  <c r="K10" i="12"/>
  <c r="C76" i="12"/>
  <c r="C112" i="12" s="1"/>
  <c r="C113" i="12" s="1"/>
  <c r="K290" i="3"/>
  <c r="P88" i="17" l="1"/>
  <c r="J16" i="15" s="1"/>
  <c r="D131" i="17"/>
  <c r="C131" i="17"/>
  <c r="M131" i="17"/>
  <c r="B131" i="17"/>
  <c r="J23" i="15" s="1"/>
  <c r="E131" i="17"/>
  <c r="P131" i="17"/>
  <c r="L131" i="17"/>
  <c r="N131" i="17"/>
  <c r="P91" i="17"/>
  <c r="J14" i="15" s="1"/>
  <c r="O131" i="17"/>
  <c r="I24" i="15"/>
  <c r="I20" i="15"/>
  <c r="J20" i="15" s="1"/>
  <c r="N10" i="15"/>
  <c r="Q10" i="15" s="1"/>
  <c r="J30" i="15"/>
  <c r="D378" i="17"/>
  <c r="E378" i="17" s="1"/>
  <c r="E374" i="17"/>
  <c r="J29" i="15" s="1"/>
  <c r="I57" i="4"/>
  <c r="J24" i="15" l="1"/>
  <c r="J25" i="15"/>
  <c r="J22" i="15"/>
  <c r="D363" i="3"/>
  <c r="D365" i="3" s="1"/>
  <c r="N28" i="15" s="1"/>
  <c r="Q28" i="15" s="1"/>
  <c r="N14" i="15" l="1"/>
  <c r="Q14" i="15" s="1"/>
  <c r="I6" i="4"/>
  <c r="N22" i="15" l="1"/>
  <c r="Q22" i="15" s="1"/>
  <c r="N24" i="15"/>
  <c r="Q24" i="15" s="1"/>
  <c r="N23" i="15"/>
  <c r="Q23" i="15" s="1"/>
  <c r="N16" i="15"/>
  <c r="Q16" i="15" s="1"/>
  <c r="N21" i="15"/>
  <c r="Q21" i="15" s="1"/>
  <c r="N20" i="15" l="1"/>
  <c r="Q20" i="15" s="1"/>
  <c r="I42" i="12" l="1"/>
  <c r="Q42" i="12" s="1"/>
  <c r="D32" i="4"/>
  <c r="D33" i="4"/>
  <c r="D34" i="4"/>
  <c r="D35"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C45" i="4"/>
  <c r="D31" i="4" s="1"/>
  <c r="K292" i="3"/>
  <c r="K291" i="3"/>
  <c r="I287" i="3" s="1"/>
  <c r="C118" i="12" s="1"/>
  <c r="D40" i="4" l="1"/>
  <c r="D39" i="4"/>
  <c r="D38" i="4"/>
  <c r="D37" i="4"/>
  <c r="D36" i="4"/>
  <c r="C48" i="4"/>
  <c r="L30" i="12"/>
  <c r="L8" i="12"/>
  <c r="N8" i="12" s="1"/>
  <c r="Q8" i="12" s="1"/>
  <c r="D30" i="4"/>
  <c r="L14" i="12"/>
  <c r="L10" i="12"/>
  <c r="L25" i="12"/>
  <c r="L16" i="12"/>
  <c r="L13" i="12"/>
  <c r="N13" i="12" s="1"/>
  <c r="Q13" i="12" s="1"/>
  <c r="L20" i="12"/>
  <c r="L17" i="12"/>
  <c r="L33" i="12"/>
  <c r="N33" i="12" s="1"/>
  <c r="Q33" i="12" s="1"/>
  <c r="L39" i="12"/>
  <c r="L23" i="12"/>
  <c r="L22" i="12"/>
  <c r="L21" i="12"/>
  <c r="L24" i="12"/>
  <c r="L34" i="12"/>
  <c r="N34" i="12" s="1"/>
  <c r="Q34" i="12" s="1"/>
  <c r="L37" i="12"/>
  <c r="D43" i="4"/>
  <c r="D42" i="4"/>
  <c r="D41" i="4"/>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3" i="6"/>
  <c r="Q35" i="12" l="1"/>
  <c r="N17" i="12" l="1"/>
  <c r="Q17" i="12" s="1"/>
  <c r="N37" i="15" l="1"/>
  <c r="Q37" i="15" s="1"/>
  <c r="N39" i="15"/>
  <c r="Q39" i="15" s="1"/>
  <c r="N29" i="15"/>
  <c r="Q29" i="15" s="1"/>
  <c r="N25" i="15"/>
  <c r="Q25" i="15" s="1"/>
  <c r="N30" i="15"/>
  <c r="Q30" i="15" s="1"/>
  <c r="C95" i="12"/>
  <c r="C96" i="12" s="1"/>
  <c r="I15" i="12" s="1"/>
  <c r="AH213" i="3"/>
  <c r="L213" i="3"/>
  <c r="AI171" i="3"/>
  <c r="E213" i="3"/>
  <c r="E171" i="3"/>
  <c r="M171" i="3"/>
  <c r="O213" i="3"/>
  <c r="B213" i="3"/>
  <c r="V171" i="3"/>
  <c r="X171" i="3"/>
  <c r="AF171" i="3"/>
  <c r="AF213" i="3"/>
  <c r="AH171" i="3"/>
  <c r="AG213" i="3"/>
  <c r="B171" i="3"/>
  <c r="L171" i="3"/>
  <c r="N171" i="3"/>
  <c r="D171" i="3"/>
  <c r="AG171" i="3"/>
  <c r="X213" i="3"/>
  <c r="AI213" i="3"/>
  <c r="M213" i="3"/>
  <c r="O171" i="3"/>
  <c r="Y171" i="3"/>
  <c r="N213" i="3"/>
  <c r="V213" i="3"/>
  <c r="W171" i="3"/>
  <c r="C171" i="3"/>
  <c r="C213" i="3"/>
  <c r="W213" i="3"/>
  <c r="Y213" i="3"/>
  <c r="D213" i="3"/>
  <c r="C90" i="12"/>
  <c r="Q15" i="15" l="1"/>
  <c r="I14" i="12"/>
  <c r="I16" i="12"/>
  <c r="C98" i="12" l="1"/>
  <c r="C101" i="12" s="1"/>
  <c r="C104" i="12" s="1"/>
  <c r="V95" i="3"/>
  <c r="C114" i="12"/>
  <c r="C115" i="12" s="1"/>
  <c r="C116" i="12" s="1"/>
  <c r="C97" i="12"/>
  <c r="C100" i="12" s="1"/>
  <c r="C103" i="12" s="1"/>
  <c r="Q49" i="15"/>
  <c r="Q46" i="15"/>
  <c r="Q50" i="15"/>
  <c r="Q47" i="15"/>
  <c r="Q45" i="15"/>
  <c r="Q48" i="15"/>
  <c r="AI90" i="3"/>
  <c r="J21" i="12" s="1"/>
  <c r="AA95" i="3"/>
  <c r="Y95" i="3"/>
  <c r="AB95" i="3"/>
  <c r="P91" i="3"/>
  <c r="Z95" i="3"/>
  <c r="W95" i="3"/>
  <c r="X95" i="3"/>
  <c r="C99" i="12"/>
  <c r="C102" i="12" s="1"/>
  <c r="C105" i="12" s="1"/>
  <c r="P88" i="3"/>
  <c r="AC95" i="3"/>
  <c r="J14" i="12" l="1"/>
  <c r="N14" i="12" s="1"/>
  <c r="Q14" i="12" s="1"/>
  <c r="J16" i="12"/>
  <c r="N16" i="12" s="1"/>
  <c r="Q16" i="12" s="1"/>
  <c r="C86" i="12"/>
  <c r="Q52" i="15"/>
  <c r="R46" i="15" s="1"/>
  <c r="N21" i="12"/>
  <c r="C106" i="12"/>
  <c r="I25" i="12" s="1"/>
  <c r="I10" i="12"/>
  <c r="D374" i="3" s="1"/>
  <c r="E303" i="3"/>
  <c r="G303" i="3" s="1"/>
  <c r="J39" i="12" s="1"/>
  <c r="N39" i="12" s="1"/>
  <c r="Q39" i="12" s="1"/>
  <c r="C303" i="3"/>
  <c r="B303" i="3"/>
  <c r="D303" i="3"/>
  <c r="J28" i="12"/>
  <c r="N28" i="12" s="1"/>
  <c r="Q28" i="12" s="1"/>
  <c r="I29" i="12"/>
  <c r="I30" i="12"/>
  <c r="I23" i="12" l="1"/>
  <c r="I22" i="12"/>
  <c r="C111" i="12"/>
  <c r="B132" i="3" s="1"/>
  <c r="Q21" i="12"/>
  <c r="C110" i="12"/>
  <c r="R49" i="15"/>
  <c r="R50" i="15"/>
  <c r="R47" i="15"/>
  <c r="R45" i="15"/>
  <c r="R22" i="15"/>
  <c r="R16" i="15"/>
  <c r="R34" i="15"/>
  <c r="R13" i="15"/>
  <c r="R28" i="15"/>
  <c r="R8" i="15"/>
  <c r="R10" i="15"/>
  <c r="S10" i="15" s="1"/>
  <c r="R23" i="15"/>
  <c r="R14" i="15"/>
  <c r="R21" i="15"/>
  <c r="R20" i="15"/>
  <c r="R24" i="15"/>
  <c r="R42" i="15"/>
  <c r="S42" i="15" s="1"/>
  <c r="R17" i="15"/>
  <c r="G55" i="15"/>
  <c r="R35" i="15"/>
  <c r="R33" i="15"/>
  <c r="R37" i="15"/>
  <c r="S37" i="15" s="1"/>
  <c r="R29" i="15"/>
  <c r="R30" i="15"/>
  <c r="R39" i="15"/>
  <c r="S39" i="15" s="1"/>
  <c r="R25" i="15"/>
  <c r="R15" i="15"/>
  <c r="R48" i="15"/>
  <c r="C107" i="12"/>
  <c r="E374" i="3"/>
  <c r="J29" i="12" s="1"/>
  <c r="N29" i="12" s="1"/>
  <c r="Q29" i="12" s="1"/>
  <c r="D378" i="3"/>
  <c r="E378" i="3" s="1"/>
  <c r="O248" i="3"/>
  <c r="Q248" i="3" s="1"/>
  <c r="J37" i="12" s="1"/>
  <c r="N37" i="12" s="1"/>
  <c r="Q37" i="12" s="1"/>
  <c r="N248" i="3"/>
  <c r="L248" i="3"/>
  <c r="M248" i="3"/>
  <c r="I20" i="12" l="1"/>
  <c r="J20" i="12" s="1"/>
  <c r="N20" i="12" s="1"/>
  <c r="Q20" i="12" s="1"/>
  <c r="I24" i="12"/>
  <c r="J10" i="12"/>
  <c r="N10" i="12" s="1"/>
  <c r="Q10" i="12" s="1"/>
  <c r="E132" i="3"/>
  <c r="D132" i="3"/>
  <c r="C132" i="3"/>
  <c r="J23" i="12" s="1"/>
  <c r="D131" i="3"/>
  <c r="P131" i="3"/>
  <c r="N131" i="3"/>
  <c r="O131" i="3"/>
  <c r="L131" i="3"/>
  <c r="E131" i="3"/>
  <c r="C131" i="3"/>
  <c r="B131" i="3"/>
  <c r="M131" i="3"/>
  <c r="J30" i="12"/>
  <c r="N30" i="12" s="1"/>
  <c r="Q30" i="12" s="1"/>
  <c r="S45" i="15"/>
  <c r="S28" i="15"/>
  <c r="S13" i="15"/>
  <c r="S20" i="15"/>
  <c r="S33" i="15"/>
  <c r="G57" i="15"/>
  <c r="G56" i="15"/>
  <c r="S8" i="15"/>
  <c r="R52" i="15"/>
  <c r="J22" i="12" l="1"/>
  <c r="N22" i="12" s="1"/>
  <c r="Q22" i="12" s="1"/>
  <c r="J25" i="12"/>
  <c r="N25" i="12" s="1"/>
  <c r="Q25" i="12" s="1"/>
  <c r="N23" i="12"/>
  <c r="Q23" i="12" s="1"/>
  <c r="J24" i="12"/>
  <c r="N24" i="12" s="1"/>
  <c r="Q24" i="12" s="1"/>
  <c r="S52" i="15"/>
  <c r="Q15" i="12" l="1"/>
  <c r="Q48" i="12" l="1"/>
  <c r="Q46" i="12"/>
  <c r="Q45" i="12"/>
  <c r="Q50" i="12"/>
  <c r="Q49" i="12"/>
  <c r="Q47" i="12"/>
  <c r="Q52" i="12" l="1"/>
  <c r="R14" i="12" s="1"/>
  <c r="R28" i="12" l="1"/>
  <c r="R33" i="12"/>
  <c r="R20" i="12"/>
  <c r="G55" i="12"/>
  <c r="R15" i="12"/>
  <c r="R37" i="12"/>
  <c r="S37" i="12" s="1"/>
  <c r="R30" i="12"/>
  <c r="R29" i="12"/>
  <c r="R34" i="12"/>
  <c r="R35" i="12"/>
  <c r="R17" i="12"/>
  <c r="R13" i="12"/>
  <c r="R50" i="12"/>
  <c r="R8" i="12"/>
  <c r="S8" i="12" s="1"/>
  <c r="R25" i="12"/>
  <c r="R49" i="12"/>
  <c r="R47" i="12"/>
  <c r="R23" i="12"/>
  <c r="R22" i="12"/>
  <c r="R39" i="12"/>
  <c r="S39" i="12" s="1"/>
  <c r="R45" i="12"/>
  <c r="R10" i="12"/>
  <c r="S10" i="12" s="1"/>
  <c r="R42" i="12"/>
  <c r="S42" i="12" s="1"/>
  <c r="R48" i="12"/>
  <c r="R46" i="12"/>
  <c r="R24" i="12"/>
  <c r="R21" i="12"/>
  <c r="R16" i="12"/>
  <c r="S33" i="12" l="1"/>
  <c r="G56" i="12"/>
  <c r="G57" i="12"/>
  <c r="S28" i="12"/>
  <c r="S45" i="12"/>
  <c r="S20" i="12"/>
  <c r="R52" i="12"/>
  <c r="S13" i="12"/>
  <c r="S52" i="12" l="1"/>
</calcChain>
</file>

<file path=xl/sharedStrings.xml><?xml version="1.0" encoding="utf-8"?>
<sst xmlns="http://schemas.openxmlformats.org/spreadsheetml/2006/main" count="2835" uniqueCount="922">
  <si>
    <t>Citation</t>
  </si>
  <si>
    <t>Cohen, Stuart, Vignesh Ramasamy, and Danny Inman. 2023. A Component-Level Bottom-Up Cost Model for Pumped Storage Hydropower. Golden, CO: National Renewable Energy Laboratory. NREL/TP-6A40-84875. https://www.nrel.gov/docs/fy23osti/84875.</t>
  </si>
  <si>
    <t>Parameter</t>
  </si>
  <si>
    <t>Parameter Type</t>
  </si>
  <si>
    <t>Description/Instructions</t>
  </si>
  <si>
    <t>Options/ Choices (if applicable)</t>
  </si>
  <si>
    <t>Applicability for Small Scale PSH (&lt;=100 MW) [n/a if blank]</t>
  </si>
  <si>
    <t>Applicability for Large Scale PSH (&gt;100 MW) [n/a if blank]</t>
  </si>
  <si>
    <t>Equation/Cost Curve [n/a if blank]</t>
  </si>
  <si>
    <t>Notes</t>
  </si>
  <si>
    <t>Data Source</t>
  </si>
  <si>
    <t>Definitions</t>
  </si>
  <si>
    <t>Worksheet</t>
  </si>
  <si>
    <t>This sheet has definitions and descriptions of most terms and parameters within the workbook.</t>
  </si>
  <si>
    <t>No</t>
  </si>
  <si>
    <t>Cost Model L-PSH</t>
  </si>
  <si>
    <t>This sheet includes the core PSH cost model with all base case inputs, assumptions, output specifications, and cost components applicable for a large PSH system.</t>
  </si>
  <si>
    <t>Cost Model S-PSH</t>
  </si>
  <si>
    <t>This sheet includes the core PSH cost model with all base case inputs, assumptions, output specifications, and cost components applicable for a small PSH system.</t>
  </si>
  <si>
    <t>Cost Curves L-PSH</t>
  </si>
  <si>
    <t>This sheet includes all underlying cost curves using inputs of the large PSH system to estimate unit and total costs of different components for a large PSH system.</t>
  </si>
  <si>
    <t>Most of the cost curves are from EPRI GS-6999 report "Pumped Storage Planning and Evaluation Guide"</t>
  </si>
  <si>
    <t>Cost Curves S-PSH</t>
  </si>
  <si>
    <t>This sheet includes all underlying cost curves using inputs of the small PSH system to estimate unit and total costs of different components for a small PSH system.</t>
  </si>
  <si>
    <t>Market Adj Factors</t>
  </si>
  <si>
    <t>This sheet includes market adjustment factors and inflation factors used to adjust the estimated unit cost to current year values.</t>
  </si>
  <si>
    <t>Industry engagement and U.S. Bureau of Labor and Statistics</t>
  </si>
  <si>
    <t>Locational Adj Factors</t>
  </si>
  <si>
    <t>This sheet includes locational cost adjustment factors used to adjust unit cost based on selected location.</t>
  </si>
  <si>
    <t>RSMeans. 2022. “RSMeans City Cost Index - 2022 - Quarter 2.” Gordian. https://www.rsmeans.com/media/wysiwyg/quarterly_updates/Q2-2022-ChangeNotice.pdf</t>
  </si>
  <si>
    <t>Land Value Data</t>
  </si>
  <si>
    <t>This sheet has $/acre value of different types of land by location based on USDA data.</t>
  </si>
  <si>
    <t>USDA. 2022. “USDA Land Values: 2022 Summary.” 1949–1867. United States Department of Agriculture.</t>
  </si>
  <si>
    <t>Sensitivity Analysis</t>
  </si>
  <si>
    <t>This sheet has macros to calculate costs for multiple different configurations at the same time and plot the changes to the overall $/kWh.</t>
  </si>
  <si>
    <t>Location</t>
  </si>
  <si>
    <t>Inputs &amp; Assumptions</t>
  </si>
  <si>
    <t>Select United States or one of the states in the U.S. This input will adjust cost components based on a locational cost adjustment factor derived from the RSmeans construction cost guide.</t>
  </si>
  <si>
    <t>Yes</t>
  </si>
  <si>
    <t>Avg. Max Upper Reservoir Depth</t>
  </si>
  <si>
    <t>Enter the average of the maximum upper reservoir depth in feet.</t>
  </si>
  <si>
    <t>Upper Reservoir Area</t>
  </si>
  <si>
    <t>Enter upper reservoir area in acres, averaged over reservoir depth.</t>
  </si>
  <si>
    <t>Avg. Max Lower Reservoir Depth</t>
  </si>
  <si>
    <t>Enter the average of the maximum lower reservoir depth in feet.</t>
  </si>
  <si>
    <t>Lower Reservoir Area</t>
  </si>
  <si>
    <t>Enter lower reservoir area in acres, averaged over reservoir depth.</t>
  </si>
  <si>
    <t>Nominal (Max) Head</t>
  </si>
  <si>
    <t>Enter maximum head height in feet, i.e., the upper reservoir max water surface elevation minus the lower reservoir min water surface elevation.</t>
  </si>
  <si>
    <t>Total Conveyance Length (vert+horiz)</t>
  </si>
  <si>
    <t>Enter total water conveyance length between upper and lower reservoir in feet. This could be the shortest distance between two reservoirs, including both the horizontal and vertical (head) distance.</t>
  </si>
  <si>
    <t>Avg. Upper Dam Height</t>
  </si>
  <si>
    <t>Enter average upper reservoir dam height in feet.</t>
  </si>
  <si>
    <t>Upper Dam Crest Length</t>
  </si>
  <si>
    <t>Enter average upper reservoir dam crest length (length along the span of the dam) in feet.</t>
  </si>
  <si>
    <t>Avg. Lower Dam Height</t>
  </si>
  <si>
    <t>Enter average lower reservoir dam height in feet.</t>
  </si>
  <si>
    <t>Lower Dam Crest Length</t>
  </si>
  <si>
    <t>Enter average lower reservoir dam crest length (length along the span of the dam) in feet.</t>
  </si>
  <si>
    <t>Acreage to be acquired</t>
  </si>
  <si>
    <t>Enter total land area to be acquired for the construction of the project in acres.</t>
  </si>
  <si>
    <t>Could be area of both rervoirs + 10%</t>
  </si>
  <si>
    <t>Generation Time</t>
  </si>
  <si>
    <t>Enter the maximum discharge time in hours based on the power output at mean generation discharge. In practice, power will fluctuate between min and max power based on head height throughout the discharge period.</t>
  </si>
  <si>
    <t>Meter to Feet</t>
  </si>
  <si>
    <t>Conversion factor from meter to feet used for maximum head height.</t>
  </si>
  <si>
    <t>Feet to Miles</t>
  </si>
  <si>
    <t>Conversion factor from feet to mile used for water conveyance length.</t>
  </si>
  <si>
    <t>Ac. Ft to Cu. Ft</t>
  </si>
  <si>
    <t>Conversion factor for acre-foot to cubic-foot.</t>
  </si>
  <si>
    <t>Cu. Ft to Cu. Yd</t>
  </si>
  <si>
    <t>Conversion factor for cubic-foot to cubic-yard.</t>
  </si>
  <si>
    <t>Hr to Sec</t>
  </si>
  <si>
    <t>Conversion factor for hours to seconds.</t>
  </si>
  <si>
    <t>MW to W</t>
  </si>
  <si>
    <t>Conversion factor from megawatts to watts</t>
  </si>
  <si>
    <t>acceleration of gravity (metric)</t>
  </si>
  <si>
    <t>Gravitational acceleration constant</t>
  </si>
  <si>
    <t>density of water (metric)</t>
  </si>
  <si>
    <t>Density of water constant</t>
  </si>
  <si>
    <t>Tunneling Condition</t>
  </si>
  <si>
    <t>Select an option between average and poor tunneling condition. Average tunneling condition will have lower cost compared to poor tunneling condition. Poor tunneling conditions could be attributed to tunnel size/length, excavation method, rock conditions, or water inflows.</t>
  </si>
  <si>
    <t>Access Road, Terrain</t>
  </si>
  <si>
    <t>Select a terrain grade type that impacts the cost of the access road. Flat is &lt;10 degree slope, Mild is 10-20 degree slope, Steep is &gt;20 degree slope.</t>
  </si>
  <si>
    <t>Access Road, Type</t>
  </si>
  <si>
    <t>Select whether a new access road must be built, or if an existing road can be rebuilt.</t>
  </si>
  <si>
    <t>Highway Realignment</t>
  </si>
  <si>
    <t>Select an option that will either include or exclude highway realignment cost.</t>
  </si>
  <si>
    <t>Access Road</t>
  </si>
  <si>
    <t>Enter a value in miles for the length of access road that needs to be built.</t>
  </si>
  <si>
    <t>Could be the distance between nearest road, lower reservoir and then to upper reservoir + 10%.</t>
  </si>
  <si>
    <t>Access Tunnel, Length</t>
  </si>
  <si>
    <t>Enter a value in feet for the distance of the access tunnel built to access an underground powerhouse.</t>
  </si>
  <si>
    <t>Assume 26ft x 26ft tunnel section. If length is unknown can be approximated to tailrace tunnel length. Could be approximated as distance between lower edge of reservoir to half of the horizontal length assuming power station is in the center</t>
  </si>
  <si>
    <t>Water Supply</t>
  </si>
  <si>
    <t>Select an option that will either include or exclude water supply cost.</t>
  </si>
  <si>
    <t>Water Supply Cost</t>
  </si>
  <si>
    <t>Enter an assumed water supply cost per megawatt of max generating capacity. Alternatively, a water supply cost in dollars can be entered as an override quantity in the cost table.</t>
  </si>
  <si>
    <t>U. Reservoir Intake/Outlet</t>
  </si>
  <si>
    <t>Select an option between horizontal and vertical for the upper reservoir water intake/outlet. Choice depends on terrain, but typically choose horizontal if there is &gt;1 head race tunnel (tunnel upstream of the powerhouse).</t>
  </si>
  <si>
    <t>EPRI GS6999 - P.NO. 6-10, 6-11</t>
  </si>
  <si>
    <t>L. Reservoir Intake/Outlet</t>
  </si>
  <si>
    <t>Select an option between horizontal and vertical for the lower reservoir water intake/outlet. Typically horizontal.</t>
  </si>
  <si>
    <t>EPRI GS6999 - P.NO. 6-10, 6-12</t>
  </si>
  <si>
    <t>Powerstation Structure Geology</t>
  </si>
  <si>
    <t>Select an option between average and adverse geology. Average tuneling condition will have lower cost compared to more conservatively assuming adverse geology.</t>
  </si>
  <si>
    <t>Power Station</t>
  </si>
  <si>
    <t>Select an option between surface and underground power station.</t>
  </si>
  <si>
    <t>EPRI GS6999 - P.NO. 6-9, 6-10</t>
  </si>
  <si>
    <t>Penstock</t>
  </si>
  <si>
    <t>Select an option between surface and underground penstock. Systems with total capacity &lt; 100 MW are expected to use surface penstocks.</t>
  </si>
  <si>
    <t>EPRI GS6999 - P.NO. 6-10</t>
  </si>
  <si>
    <t>Inflation Factor</t>
  </si>
  <si>
    <t>Enables or disables the inflation factor adjustment for all the system cost components except for indirect costs.</t>
  </si>
  <si>
    <t>Material/Equipment %</t>
  </si>
  <si>
    <t>Enter a percentage value that specifies the percent of total material/equipment costs on which to apply sales tax, EPC, overhead, and profit.</t>
  </si>
  <si>
    <t>Mobilization/Demobilization</t>
  </si>
  <si>
    <t>Enter a percentage value to estimate material and labor mobilization/demobilization as a percent of total cost.</t>
  </si>
  <si>
    <t>Sales Tax</t>
  </si>
  <si>
    <t>Enter a percentage value to estimate sales tax on a material percentage of components.</t>
  </si>
  <si>
    <t>Contingency</t>
  </si>
  <si>
    <t>Enter a percentage value to apply as a contingency cost on the total cost of components.</t>
  </si>
  <si>
    <t>EPC Cost</t>
  </si>
  <si>
    <t>Enter a percentage value to apply engineering-procurement-construction (EPC) contractor cost on a material percentage of components.</t>
  </si>
  <si>
    <t>Developer Cost</t>
  </si>
  <si>
    <t>Enter a percentage value to apply a developer cost on the total cost of components.</t>
  </si>
  <si>
    <t>EPC Overhead &amp; Profit</t>
  </si>
  <si>
    <t>Enter a percentage value to estimate overhead and the installer's profit markup on a material percentage of components.</t>
  </si>
  <si>
    <t>Tranmsission Distance</t>
  </si>
  <si>
    <t>Enter the value for transmission interconnection distance in miles to estimate the cost of transmission.</t>
  </si>
  <si>
    <t>Transmission</t>
  </si>
  <si>
    <t>Enter the value for transmission line voltage to estimate the cost of transmission.</t>
  </si>
  <si>
    <t>Substation</t>
  </si>
  <si>
    <t>Enter the value for substation voltage to estimate the cost of a switchyard.</t>
  </si>
  <si>
    <t>Tranmission Terrain</t>
  </si>
  <si>
    <t>Select the type of terrain to estimate the cost of transmission.</t>
  </si>
  <si>
    <t>Transmission Type (# circuits)</t>
  </si>
  <si>
    <t>Select the type of transmission network (single or double circuit) to estimate the cost of transmission.</t>
  </si>
  <si>
    <t>Active Storage</t>
  </si>
  <si>
    <t>Enter a percentage value (less than or equal to 100%) to estimate the total usable storage out of the full reservoir volume.</t>
  </si>
  <si>
    <t>Hmin/Hmax</t>
  </si>
  <si>
    <t>Enter the assumed ratio of minimum to maximum gross head.</t>
  </si>
  <si>
    <t>Hazen Williams C</t>
  </si>
  <si>
    <t>Enter a value for the Hazen-Williams friction coefficient to estimate the head loss in conveyance structures.</t>
  </si>
  <si>
    <t>P-T Efficiency</t>
  </si>
  <si>
    <t>Enter a value for unit pump-turbine efficiency to estimate palnt generation power. This is the one-way component efficiency, not the overall round-trip efficiency of power generation.</t>
  </si>
  <si>
    <t>This is not same as round trip efficiency.</t>
  </si>
  <si>
    <t>Max Tunnel Velocity</t>
  </si>
  <si>
    <t>Enter a maximum water velocity in the tunnel in foot per second to estimate tunnel diameter.</t>
  </si>
  <si>
    <t>Value usually in the range of 15 - 20.</t>
  </si>
  <si>
    <t>Max Tunnel Dia</t>
  </si>
  <si>
    <t>Enter a maximum tunnel diameter value to estimate number of tunnels.</t>
  </si>
  <si>
    <t>Max Unit Capacity</t>
  </si>
  <si>
    <t>Enter a maximum capacity in megawatts per generating unit to determine the number of individual turbine/generator units.</t>
  </si>
  <si>
    <t>Min No. Units</t>
  </si>
  <si>
    <t>Enter a value to  set a lower limit for total no. of turbine/generator units at the plant.</t>
  </si>
  <si>
    <t>Pump Time</t>
  </si>
  <si>
    <t>Enter a factor value for the ratio of charging hours to discharging hours at mean discharge. This is the inverse of the overall round-trip efficiency.</t>
  </si>
  <si>
    <t>Could be inverse of round trip efficiency.</t>
  </si>
  <si>
    <t>Conveyance Length</t>
  </si>
  <si>
    <t>Output Specifications</t>
  </si>
  <si>
    <t>Converts conveyance length value converted from feet to miles.</t>
  </si>
  <si>
    <t>Avg. Upper Reservoir Volume</t>
  </si>
  <si>
    <t>Estimates total upper reservoir volume by multiplying average reservoir depth and reservoir area.</t>
  </si>
  <si>
    <t>Avg. Lower Reservoir Volume</t>
  </si>
  <si>
    <t>Estimates total lower reservoir volume by multiplying average reservoir depth and reservoir area.</t>
  </si>
  <si>
    <t>Total Upper Dam Volume</t>
  </si>
  <si>
    <t>Estimates total dam volume in the upper reservoir by multiplying estimated unit volume using dam height in the EPRI curve and input dam crest length.</t>
  </si>
  <si>
    <t>EPRI GS6999 - P.NO. 6-50</t>
  </si>
  <si>
    <t>Total Lower Dam Volume</t>
  </si>
  <si>
    <t>Estimates total dam volume in the lower reservoir by multiplying estimated unit volume using dam height in the EPRI curve and input dam crest length.</t>
  </si>
  <si>
    <t>Estimates total usable or dispatchable storage volume by multiplying active storage percentage factor and upper reservoir volume.</t>
  </si>
  <si>
    <t>Energy Storage</t>
  </si>
  <si>
    <t>Total energy stored based on active storage.</t>
  </si>
  <si>
    <t>Mean Gen Discharge</t>
  </si>
  <si>
    <t>Estimates the mean water discharge in cubic feet per second by multiplying converted values of active storage in acre-foot to cubic-foot and generation time in hours to seconds. Assumes power output is maximized for the head and flow.</t>
  </si>
  <si>
    <t>Min Gross Head</t>
  </si>
  <si>
    <t>Estimates minimum gross head in feet by multiplying the Hmin/Hmax ratio and the nominal maximum head height value.</t>
  </si>
  <si>
    <t>Mean Gross Head</t>
  </si>
  <si>
    <t>The average of the maximum nominal head and minimum nominal head values.</t>
  </si>
  <si>
    <t>Min Gen Discharge</t>
  </si>
  <si>
    <t>Estimates the minimum water discharge in cubic feet per sectond from the mean discharge and the min/mean head ratio, based on the head being proportional to the flow squared</t>
  </si>
  <si>
    <t>Max Gen Discharge</t>
  </si>
  <si>
    <t>Estimates the minimum water discharge in cubic feet per sectond from the mean discharge and the max/mean head ratio, based on the head being proportional to the flow squared</t>
  </si>
  <si>
    <t>Nominal Tunnel Diameter</t>
  </si>
  <si>
    <t>Estimates the tunnel diameter in feet assuming 1 tunnel, estimated from the ratio of max flow to velocity (i.e., tunnel cross-sectional area)</t>
  </si>
  <si>
    <t>EPRI GS6999 - P.NO. 6-12, 6-13</t>
  </si>
  <si>
    <t>No. Tunnels</t>
  </si>
  <si>
    <t>Determines the required number of tunnels to be 1 if the estimated tunnel diameter is less than maximum tunnel diameter, otherwise a value of 2 is assumed.</t>
  </si>
  <si>
    <t>Adjusted Tunnel Diameter</t>
  </si>
  <si>
    <t>Estimates the tunnel diameter in feet based on the total number of tunnels and the ratio of max flow to velocity (i.e., tunnel cross-sectional area)</t>
  </si>
  <si>
    <t>L/H</t>
  </si>
  <si>
    <t>Ratio of conveyance length to mean head height.</t>
  </si>
  <si>
    <t>Surge Chambers</t>
  </si>
  <si>
    <t>A flag for whether or not to include surge chamer cost. A surge chamber is assumed to be required if L/H ratio is greater than or equal to 7.</t>
  </si>
  <si>
    <t>EPRI GS6999 - P.NO. 6-13, 6-14</t>
  </si>
  <si>
    <t>Min Gen Headloss</t>
  </si>
  <si>
    <t>Head loss in feet at minimum discharge conditions, using the Hazen-Williams equation</t>
  </si>
  <si>
    <t>Mean Gen Headloss</t>
  </si>
  <si>
    <t>Head loss in feet at mean discharge conditions, using the Hazen-Williams equation</t>
  </si>
  <si>
    <t>Max Gen Headloss</t>
  </si>
  <si>
    <t>Head loss in feet at maximum discharge conditions, using the Hazen-Williams equation</t>
  </si>
  <si>
    <t>Net Head @ Min Gen Discharge</t>
  </si>
  <si>
    <t>The difference between minimum head height and head loss at minimum discharge.</t>
  </si>
  <si>
    <t>Net Head @ Mean Gen Discharge</t>
  </si>
  <si>
    <t>The difference between mean head height and head loss at mean discharge.</t>
  </si>
  <si>
    <t>Net Head @ Max Gen Discharge</t>
  </si>
  <si>
    <t>The difference between maximum head height and head loss at maximum discharge.</t>
  </si>
  <si>
    <t>Min Plant Gen Power</t>
  </si>
  <si>
    <t>Calculation of hydropower output at minimum discharge based on head, flow rate, P-T efficiency, and physical properties. This would be considered the firm capacity for resource adequacy purposes.</t>
  </si>
  <si>
    <t>Mean Plant Gen Power</t>
  </si>
  <si>
    <t>Calculation of hydropower output at mean discharge based on head, flow rate, P-T efficiency, and physical properties</t>
  </si>
  <si>
    <t>Max Plant Gen Power</t>
  </si>
  <si>
    <t>Calculation of hydropower output at maximum discharge based on head, flow rate, P-T efficiency, and physical properties.  The maximum recommended plant gen power is 2100 MW to avoid extrapolating beyond the prescribed range of the cost functions.</t>
  </si>
  <si>
    <t>No. Units</t>
  </si>
  <si>
    <t>Calculates the required number of pump/generator units using plant's total generation capacity and the maximum generation capacity per unit. The maximum recommended number of units is 6 to avoid extrapolating beyond the prescribed range of the cost functions.</t>
  </si>
  <si>
    <t>Unit Rating</t>
  </si>
  <si>
    <t>The number of pump/generator units calculated from the max plant capacity divided by number of units.</t>
  </si>
  <si>
    <t>Max Penstock Velocity</t>
  </si>
  <si>
    <t>The maximum water velocity in the penstock in foot per second, estimated from the maximum head.</t>
  </si>
  <si>
    <t>EPRI GS6999 - P.NO. A-11, A-12</t>
  </si>
  <si>
    <t>Max Draft Tube Tunnel Velocity</t>
  </si>
  <si>
    <t>The maximum water velocity in the draft tube in foot per second, conservatively estimated from the maximum minus minimum head.</t>
  </si>
  <si>
    <t>EPRI GS6999 - P.NO. A-12</t>
  </si>
  <si>
    <t>Penstock Dia</t>
  </si>
  <si>
    <t>Estimates the penstock diameter in feet from the ratio of max flow to max penstock velocity (i.e., penstock cross-sectional area)</t>
  </si>
  <si>
    <t>Draft Tube Tunnel Dia</t>
  </si>
  <si>
    <t>Estimates the draft tube diameter in feet from the ratio of max flow to max penstock velocity (i.e., draft tube cross-sectional area)</t>
  </si>
  <si>
    <t>The product of the pump time factor and total generation time.</t>
  </si>
  <si>
    <t>Mean Pump Discharge</t>
  </si>
  <si>
    <t>Estimates mean water discharge of the pump in cubic feet per second by converting active storage from acre-foot to cubic-food and pump time from hours to seconds.</t>
  </si>
  <si>
    <t>Mean Pump Headloss</t>
  </si>
  <si>
    <t>Head loss in feet from the pump at mean discharge conditions, using the Hazen-Williams equation</t>
  </si>
  <si>
    <t>Mean Pump Net Head</t>
  </si>
  <si>
    <t>Total head the pump must overcome as the sum of mean gross head height and mean pump headloss.</t>
  </si>
  <si>
    <t>Mean Pump Power</t>
  </si>
  <si>
    <t>Pump power requirements calculated based on mean pump discharge conditions of head, flow rate, P-T efficiency, and physical properties</t>
  </si>
  <si>
    <t>Tranmission Terrain Multiplier</t>
  </si>
  <si>
    <t>Transmission cost multiplification factor lookup for selected transmission terrain type.</t>
  </si>
  <si>
    <t>Andrade, Juan, and Ross Baldick. 2017. “The Full Cost of Electricity (FCe-): Estimation of Transmission Costs for New Generation.” UTEI/2016-09-2. Austin, TX: The University of Texas at Austin. https://energy.utexas.edu/sites/default/files/UTAustin_FCe_TransmissionCosts_2017.pdf</t>
  </si>
  <si>
    <t>Tranmission Type Multiplier</t>
  </si>
  <si>
    <t>Transmission cost multiplification factor lookup for selected transmission line type.</t>
  </si>
  <si>
    <t>Include in Total?</t>
  </si>
  <si>
    <t>Cost Component Column Header</t>
  </si>
  <si>
    <t>If the value in this column is set to "Yes" it will include the cost component in the total cost estimation and vice versa.</t>
  </si>
  <si>
    <t>Unit</t>
  </si>
  <si>
    <t>Values in this column define the intrinsic unit that is used to quantify the cost component.</t>
  </si>
  <si>
    <t>Qty</t>
  </si>
  <si>
    <t>Values in this column estimate the total quantity of each cost component in the defined unit.</t>
  </si>
  <si>
    <t>Base Unit Cost</t>
  </si>
  <si>
    <t>Values in this column estimate the unit cost of each cost component in the defined $/unit.</t>
  </si>
  <si>
    <t>Locational Factor</t>
  </si>
  <si>
    <t>The Locational Factors are cost multipliers assigned for different locations in USA based on local markets, e.g., labor costs.</t>
  </si>
  <si>
    <t>Land and Land Rights cost doesn't have any locational factor included in its total cost as the unit cost is already derived based on selected location.</t>
  </si>
  <si>
    <t>Inflation Factor (2022)</t>
  </si>
  <si>
    <t>The Infation Factor is the cost multiplier based on the change in consumer price index due to inflation from the year $ year of cost curves (eg; 1988 is the $ year for EPRI cost curves) to the current dollar year of 2022.</t>
  </si>
  <si>
    <t>U.S. Bureau of Labor and Statistics</t>
  </si>
  <si>
    <t>Market Adjustment Factor (MAF)</t>
  </si>
  <si>
    <t>The Market Adjustment Factor is a cost multiplier that accounts for changes to component-specific markets beyond CPI inflation from the base cost curve year (i.e., 1988 for EPRI cost curves). For example, this factor could accommodate change in commodity markets for raw materials used for the component and component-specific supply chains.</t>
  </si>
  <si>
    <t>Industry engagement.</t>
  </si>
  <si>
    <t>Adjusted Unit Cost</t>
  </si>
  <si>
    <t>This is the product of base unit cost and all the cost adjustment factors.</t>
  </si>
  <si>
    <t>Override Qty</t>
  </si>
  <si>
    <t>Any values input under these cells can override the estimated quantity.</t>
  </si>
  <si>
    <t>Could be handy for atypical projects.</t>
  </si>
  <si>
    <t>Override Unit Cost</t>
  </si>
  <si>
    <t>Any values input under these cells can override the estimated unit cost.</t>
  </si>
  <si>
    <t>Total Component Cost</t>
  </si>
  <si>
    <t>This is the product of adjusted unit cost and quantity.</t>
  </si>
  <si>
    <t>Cost per Capacity ($/MW)</t>
  </si>
  <si>
    <t>This is a flag to denote if a cost component is dependent on power capacity of the technology.</t>
  </si>
  <si>
    <t>Cost per Energy ($/MWh)</t>
  </si>
  <si>
    <t>This is a flag to denote if a cost component is dependent on enegy capacity of the technology.</t>
  </si>
  <si>
    <t>% of total cost (component)</t>
  </si>
  <si>
    <t>Calculates the % of the total cost attributed to each cost component</t>
  </si>
  <si>
    <t>% of total cost (category)</t>
  </si>
  <si>
    <t>Calculates the % of the total cost attributed to each cost category</t>
  </si>
  <si>
    <t>Land and Land Rights</t>
  </si>
  <si>
    <t>Cost Component</t>
  </si>
  <si>
    <t>Estimated for the selected project location using the total acreage required for project construction and the average cost per acre data sourced by state from the USDA cost of land and land rights. The United States average cost per acre value is used for any location that's not in the location input list.</t>
  </si>
  <si>
    <t>Land requirement and its cost vary considerably by location and type of land. Need to make sure correct acreage and cost per acre value is used.</t>
  </si>
  <si>
    <t>Powerplant Structure</t>
  </si>
  <si>
    <t>Cost per kW of the structure constructed for the powerhouse equipment, estimated with EPRI cost curves based on the power station type, geology, and estimated generator unit rating. The total cost is then calculated by multiplying the estimate cost per kW and the max plant generation power in kW.</t>
  </si>
  <si>
    <t>cost per kW=a*dam_height^b for underground structure and a*dam_height^2 + b*dam_height + c for surface structure; a, b &amp; c varies by geology type, powerstation type, and generator unit rating.</t>
  </si>
  <si>
    <t>EPRI GS6999 - P.NO. 6-42 to 6-49</t>
  </si>
  <si>
    <t>Reservoirs, Dams, and Waterways</t>
  </si>
  <si>
    <t>Set of all cost components listed under "Reservoirs, Dams, and Waterways"</t>
  </si>
  <si>
    <t>Upper Reservoir Dam and Spillway</t>
  </si>
  <si>
    <t>Calculates total cost by multiplying the upper reservoir volume in cubic yards and the cost per cubic yard estimated with an EPRI cost curve.</t>
  </si>
  <si>
    <t>cost per CY = (7.75 * dam_volume) / (dam_volume - 0.05)</t>
  </si>
  <si>
    <t>Upper Reservoir Intake/Outlet</t>
  </si>
  <si>
    <t>The cost per intake/outlet in millions of US dollars is estimated based on the upper reservoir intake type and the number of tunnels required.</t>
  </si>
  <si>
    <t>cost per intake/outlet = a*(conductor_diameter)^2 - b*(conductor_diameter) + c; a, b, and c varies by intake type.</t>
  </si>
  <si>
    <t>Adjusted tunnel diameter to be used in the cost equation.</t>
  </si>
  <si>
    <t>EPRI GS6999 - P.NO. 6-52</t>
  </si>
  <si>
    <t>Surge Facilities</t>
  </si>
  <si>
    <t>This site-specific cost where the user determines if it is required. If a surge facility is required and enabled, the total cost of the surge facility is a specified % of the sum of the total water conductor cost, with the % specified in the Qty column.</t>
  </si>
  <si>
    <t>cost of surge facility = surge_facility_cost_factor*cost of concrete lined water conductors</t>
  </si>
  <si>
    <t>EPRI GS6999 - P.NO. 6-22</t>
  </si>
  <si>
    <t>Lower Reservoir Intake/Outlet</t>
  </si>
  <si>
    <t>The cost per intake/outlet in millions of US dollars is estimated based on the lower reservoir intake type and the number of tunnels required.</t>
  </si>
  <si>
    <t>Lower Reservoir Dam and Spillway</t>
  </si>
  <si>
    <t>Calculates total cost by multiplying the lower reservoir volume in cubic yards and the cost per cubic yard estimated with an EPRI cost curve.</t>
  </si>
  <si>
    <t>Water Conductors</t>
  </si>
  <si>
    <t>Set of all cost components listed under "Concrete Lined Water Conductors"</t>
  </si>
  <si>
    <t>Upper Low &amp; High Pressure Tunnels</t>
  </si>
  <si>
    <t>Estimated cost per linear foot of tunnel based on the tunneling condition, tunnel diameter, and conveyance length. Length of low/high pressure tunnels is half the remaining horizontal conveyance length after subtracting penstock, draft tube, and tailrace.</t>
  </si>
  <si>
    <t>Disabled</t>
  </si>
  <si>
    <t>Enabled</t>
  </si>
  <si>
    <t>cost per LF = a*tunnel_diameter^2 + b*tunnel_diameter + c; a, b &amp; c varies by tunnel length and diameter.</t>
  </si>
  <si>
    <t>Adjusted tunnel diameter to be used in the cost equation.  Length is assumed to be half the horizontal conveyance length after subtracting penstock and draft tube length.</t>
  </si>
  <si>
    <t>EPRI GS6999 - P.NO. 6-53</t>
  </si>
  <si>
    <t>Vertical Shafts</t>
  </si>
  <si>
    <t>Cost of vertical shafts is equal to estimated shaft length times cost per foot of vertical shaft. Vertical shaft length is estimated as equal to the mean gross head.</t>
  </si>
  <si>
    <t>cost per LF = 186.57*(tunnel_diameter) + 27.143</t>
  </si>
  <si>
    <t>Length of vertical shaft is assumed to be equal to mean gross head height.</t>
  </si>
  <si>
    <t>EPRI GS6999 - P.NO. 6-54</t>
  </si>
  <si>
    <t>Penstock Tunnels</t>
  </si>
  <si>
    <t>Estimated cost per linear foot of tunnel based on the tunneling condition, tunnel diameter, and conveyance length. Length of penstock is estimated as equal to the mean gross head.</t>
  </si>
  <si>
    <t>cost per LF = a*penstock_diameter^2 + b*penstock_diameter +c; a, b &amp; c varies by penstock length and diameter.</t>
  </si>
  <si>
    <t>Length of penstock is assumed to be equal to mean gross head height.</t>
  </si>
  <si>
    <t>EPRI GS6999 - P.NO. 6-55</t>
  </si>
  <si>
    <t>Draft Tube Tunnels</t>
  </si>
  <si>
    <t>Estimated cost per linear foot of tunnel based on the tunneling condition, tunnel diameter, and conveyance length. Length is assumed to be 200 ft based on EPRI guidance.</t>
  </si>
  <si>
    <t>cost per LF = a*draft_tube_diameter^2 + b*draft_tube_diameter + c; a, b &amp; c varies by draft tube length and diameter.</t>
  </si>
  <si>
    <t>Only applicable if underground powerstaion is assumed. Length is assumed to be 200 ft based on EPRI guidance.</t>
  </si>
  <si>
    <t>Tailrace Tunnels</t>
  </si>
  <si>
    <t>Estimated cost per linear foot of tunnel based on the tunneling condition, tunnel diameter, and conveyance length. Length of tailrace tunnels is half the remaining horizontal conveyance length after subtracting penstock, draft tube, and tailrace.</t>
  </si>
  <si>
    <t>Only applicable if underground powerstaion is assumed. Length is assumed to be half the horizontal conveyance length after subtracting penstock and draft tube length.</t>
  </si>
  <si>
    <t>Surface Penstock</t>
  </si>
  <si>
    <t>When a surface penstock is used, cost is based on estimated penstock length using no. of units, penstock diameter, and the cost per feet of penstock from EPRI cost curves that account for penstock diameter and head height.</t>
  </si>
  <si>
    <t>cost per LF = a*tunnel_diameter^b; a &amp; b varies by tunnel length and diameter.</t>
  </si>
  <si>
    <t>Only applicable if surface penstock is used.</t>
  </si>
  <si>
    <t>EPRI GS6999 - P.NO. 6-56</t>
  </si>
  <si>
    <t>Powerstation Equipment</t>
  </si>
  <si>
    <t>Set of all cost components listed under "Powerstation Equipment".</t>
  </si>
  <si>
    <t>Pump/Motors</t>
  </si>
  <si>
    <t>For small systems, the cost of pumps/motors is itemized and estimated based on the mean pump discharge.</t>
  </si>
  <si>
    <t>cost of pump/motors =[ 0.7799*(mean_pump_discharge in gal/min)^0.7442]*1000</t>
  </si>
  <si>
    <t>EPRI 2011, ORNL 2015</t>
  </si>
  <si>
    <t>Generator/Turbines</t>
  </si>
  <si>
    <t>For small systems, the cost of generator/turbine units is estimated based on the max plant generation capacity and head height.</t>
  </si>
  <si>
    <t>cost per kW=a*max_plant_capacity^b; a &amp; b varies by head height.</t>
  </si>
  <si>
    <t>Total Powerstation</t>
  </si>
  <si>
    <t>For large systems, the total cost of pumps/motors and generators/turbines is estimated with an EPRI cost curve based on the power station type, no.of turbine units, and estimated generator unit rating for different head height.</t>
  </si>
  <si>
    <t>cost per kW = a*(mean_gross_head)^2 - b*(mean_gross_head) + c; a, b, and c varies by powerstation type, generator unit rating and no. of units.</t>
  </si>
  <si>
    <t>EPRI GS6999 - P.NO. 6-57 to 6-64</t>
  </si>
  <si>
    <t>Roads, Railroads, Bridges, and Access</t>
  </si>
  <si>
    <t>Set of all cost components listed under "Roads, Railroads, Bridges, and Access".</t>
  </si>
  <si>
    <t>Access Roads</t>
  </si>
  <si>
    <t>Cost to construct access roads is estimated using EPRI cost data based on the cost per mile value assigned for different terrain type and road type.</t>
  </si>
  <si>
    <t>Access Tunnels</t>
  </si>
  <si>
    <t>The access tunnel cost is the product of the cost per linear foot to construct access tunnels and the length of the access tunnels.</t>
  </si>
  <si>
    <t>cost per LF = 2489.4*(access_tunnel_length)^0.118</t>
  </si>
  <si>
    <t>Cost included only for underground powerstaion.</t>
  </si>
  <si>
    <t>EPRI GS6999 - P.NO. 6-65</t>
  </si>
  <si>
    <t>If any sort of highway realignment is required, an additional cost markup on the total cost of access roads is included.</t>
  </si>
  <si>
    <t>total_cost = realignment_cost_fraction*total_cost_of_access_roads</t>
  </si>
  <si>
    <t>Switchyard</t>
  </si>
  <si>
    <t>Cost of on-site electrical interconnection equipment is estimated using an EPRI cost curve based on the substation voltage and the number of generator units.</t>
  </si>
  <si>
    <t>cost per switchyard = a*(number_of_units)^2 - b*(number_of_units) + c; a, b, and c varies by no. of generator units, and substation voltage.</t>
  </si>
  <si>
    <t>EPRI GS6999 - P.NO. 6-66</t>
  </si>
  <si>
    <t>Transmission Lines</t>
  </si>
  <si>
    <t>Transmission cost per mile is estimated using an EPRI cost curve based on the transmisison voltage and maximum plant generation capacity. The cost also changes by selected transmission type and transmission terrain type.</t>
  </si>
  <si>
    <t>cost per transmission mile = ( a*(max_plant_gen_power)^2 - b*(max_plant_gen_power) + c)*transmission_terrain_multiplier*transmission_circuit_multiplier; a, b, and c varies by no. of generator units, and substation voltage.</t>
  </si>
  <si>
    <t>EPRI GS6999 - P.NO. 6-67</t>
  </si>
  <si>
    <t>Others</t>
  </si>
  <si>
    <t>Set of all cost components listed under "Others".</t>
  </si>
  <si>
    <t>If water supply is required then we estimate cost of water supply by multiplying the total plant capacity by the $/kW water supply cost assumed in the inputs/assumptions section. Alternatively, an override qty cost in $ can be assumed.</t>
  </si>
  <si>
    <t>Highly variable and site-dependent.</t>
  </si>
  <si>
    <t>Indirect Costs</t>
  </si>
  <si>
    <t>Set of all cost components listed under "Indirect Costs".</t>
  </si>
  <si>
    <t>Total cost of mobilization/demobilization of equipment &amp; labor in is equal to mobilization/dembilization rate times the total cost to install the PSH system.</t>
  </si>
  <si>
    <t>Total sales tax is equal to sales tax rate times the total cost to install the PSH system times the material/equipment percentage factor input.</t>
  </si>
  <si>
    <t>Total contingency is equal to continengency markup factor times the total cost to install the PSH system.</t>
  </si>
  <si>
    <t>Total engineering, procurement, construction services (EPC) cost is equal to EPC markup rate times the total cost to install the PSH system times the material/equipment percentage factor input.</t>
  </si>
  <si>
    <t>Total developer cost is equal to developer markup rate times the total cost to install the PSH system.</t>
  </si>
  <si>
    <t>Overhead &amp; Profit</t>
  </si>
  <si>
    <t>Total overhead &amp; installer profit is equal to the overhead and profit markup times the total cost to install the PSH system times the material/equipment percentage factor input.</t>
  </si>
  <si>
    <t>Total Direct and Indirect Cost</t>
  </si>
  <si>
    <t>Sum of total cost in $ across all cost components.</t>
  </si>
  <si>
    <t>$/kW (Max. Power Capacity)</t>
  </si>
  <si>
    <t>Tht total cost divided by the max power generation capacity in kW.</t>
  </si>
  <si>
    <t>$/kWh (Max. Energy Capacity)</t>
  </si>
  <si>
    <t>The total cost divided by the max energy storage capacity in kWh based on the max power generation capacity and the generation time.</t>
  </si>
  <si>
    <t>Cost Components</t>
  </si>
  <si>
    <t>Include in Total? (Yes or No - User Option)</t>
  </si>
  <si>
    <t>Base Unit Cost ($/unit) (Includes material, equipment rental, installation labor)</t>
  </si>
  <si>
    <t>Adjusted Unit Cost ($)</t>
  </si>
  <si>
    <t>Override Unit Cost ($)</t>
  </si>
  <si>
    <t>Total Component Cost ($)</t>
  </si>
  <si>
    <t>Site Related</t>
  </si>
  <si>
    <t>Acres</t>
  </si>
  <si>
    <t>United States</t>
  </si>
  <si>
    <t>#</t>
  </si>
  <si>
    <t>feet</t>
  </si>
  <si>
    <t>kW</t>
  </si>
  <si>
    <t>acres</t>
  </si>
  <si>
    <t>CY</t>
  </si>
  <si>
    <t>LS</t>
  </si>
  <si>
    <t>NA</t>
  </si>
  <si>
    <t>ft</t>
  </si>
  <si>
    <t>Ft</t>
  </si>
  <si>
    <t>hours</t>
  </si>
  <si>
    <t>Unit Conversion Factors and Constants</t>
  </si>
  <si>
    <t>miles</t>
  </si>
  <si>
    <t>cu.ft</t>
  </si>
  <si>
    <t>s</t>
  </si>
  <si>
    <t>W</t>
  </si>
  <si>
    <t>m/s^2</t>
  </si>
  <si>
    <t>kg/m^2</t>
  </si>
  <si>
    <t>Condition Related</t>
  </si>
  <si>
    <t>Miles</t>
  </si>
  <si>
    <t>Average</t>
  </si>
  <si>
    <t>Flat</t>
  </si>
  <si>
    <t>%</t>
  </si>
  <si>
    <t>New</t>
  </si>
  <si>
    <t>Water Supply =</t>
  </si>
  <si>
    <t xml:space="preserve">Water Supply Cost = </t>
  </si>
  <si>
    <t>$/kW</t>
  </si>
  <si>
    <t>Technology Related</t>
  </si>
  <si>
    <t>Vertical</t>
  </si>
  <si>
    <t>Horizontal</t>
  </si>
  <si>
    <t>Power Station Structure Geology</t>
  </si>
  <si>
    <t>Adverse</t>
  </si>
  <si>
    <t>Underground</t>
  </si>
  <si>
    <t>Project Related</t>
  </si>
  <si>
    <t>Mobilization/Demobilization =</t>
  </si>
  <si>
    <t>Material/Equipment % =</t>
  </si>
  <si>
    <t>Sales Tax =</t>
  </si>
  <si>
    <t>System Cost</t>
  </si>
  <si>
    <t>Contingency =</t>
  </si>
  <si>
    <t>Total Direct and Indirect Cost $</t>
  </si>
  <si>
    <t>EPC Cost =</t>
  </si>
  <si>
    <t>Developer Cost =</t>
  </si>
  <si>
    <t>Overhead &amp; Profit =</t>
  </si>
  <si>
    <t>Transmission Related</t>
  </si>
  <si>
    <t>Transmission Distance =</t>
  </si>
  <si>
    <t>Transmission =</t>
  </si>
  <si>
    <t>kV</t>
  </si>
  <si>
    <t>Substation =</t>
  </si>
  <si>
    <t xml:space="preserve">Transmission Terrain = </t>
  </si>
  <si>
    <t>Mountain</t>
  </si>
  <si>
    <t>Transmission Type (# circuits) =</t>
  </si>
  <si>
    <t>Double</t>
  </si>
  <si>
    <t>Active Storage =</t>
  </si>
  <si>
    <t>x Gross Storage</t>
  </si>
  <si>
    <t>Hmin/Hmax =</t>
  </si>
  <si>
    <t>Hazen Williams C =</t>
  </si>
  <si>
    <t>P-T Efficiency =</t>
  </si>
  <si>
    <t>Max Tunnel Velocity =</t>
  </si>
  <si>
    <t>fps</t>
  </si>
  <si>
    <t>Max Tunnel Dia =</t>
  </si>
  <si>
    <t>Max Unit Capacity =</t>
  </si>
  <si>
    <t>MW</t>
  </si>
  <si>
    <t>Min No. Units =</t>
  </si>
  <si>
    <t>Pump Time =</t>
  </si>
  <si>
    <t>x gen time</t>
  </si>
  <si>
    <t>Avg. Upper Reservoir Volume =</t>
  </si>
  <si>
    <t>ac-ft</t>
  </si>
  <si>
    <t>Avg. Lower Reservoir Volume =</t>
  </si>
  <si>
    <t>Total Upper Dam Volume =</t>
  </si>
  <si>
    <t>Total Lower Dam Volume =</t>
  </si>
  <si>
    <t xml:space="preserve">Energy Storage = </t>
  </si>
  <si>
    <t>MWh</t>
  </si>
  <si>
    <t>Mean Gen Discharge =</t>
  </si>
  <si>
    <t>cfs</t>
  </si>
  <si>
    <t>Min Gross Head =</t>
  </si>
  <si>
    <t>Mean Gross Head =</t>
  </si>
  <si>
    <t>Min Gen Discharge =</t>
  </si>
  <si>
    <t>Max Gen Discharge =</t>
  </si>
  <si>
    <t>Nominal Tunnel Dia =</t>
  </si>
  <si>
    <t>No. Tunnels =</t>
  </si>
  <si>
    <t>Adjusted Tunnel Dia =</t>
  </si>
  <si>
    <t>L/H =</t>
  </si>
  <si>
    <t>Min Gen Headloss =</t>
  </si>
  <si>
    <t>Mean Gen Headloss =</t>
  </si>
  <si>
    <t>Max Gen Headloss =</t>
  </si>
  <si>
    <t>Net Head @ Min Gen Discharge =</t>
  </si>
  <si>
    <t>Net Head @ Mean Gen Discharge =</t>
  </si>
  <si>
    <t>Net Head @ Max Gen Discharge =</t>
  </si>
  <si>
    <t>Min Plant Gen Power (Firm Capacity) =</t>
  </si>
  <si>
    <t>Mean Plant Gen Power =</t>
  </si>
  <si>
    <t>Max Plant Gen Power =</t>
  </si>
  <si>
    <t>No. Units =</t>
  </si>
  <si>
    <t>Unit Rating =</t>
  </si>
  <si>
    <t>Max Penstock Velocity =</t>
  </si>
  <si>
    <t>Max Draft Tube Tunnel Velocity =</t>
  </si>
  <si>
    <t>Penstock Dia =</t>
  </si>
  <si>
    <t>Draft Tube Tunnel Dia =</t>
  </si>
  <si>
    <t>hrs</t>
  </si>
  <si>
    <t>Mean Pump Discharge =</t>
  </si>
  <si>
    <t>Mean Pump Headloss =</t>
  </si>
  <si>
    <t>Mean Pump Net Head =</t>
  </si>
  <si>
    <t>Mean Pump Power =</t>
  </si>
  <si>
    <t xml:space="preserve">Tranmission Terrain Multiplier = </t>
  </si>
  <si>
    <t>Tranmission Type Multiplier =</t>
  </si>
  <si>
    <t>Underground Powestation Structure Cost 80MW units</t>
  </si>
  <si>
    <t>Underground Powestation Structure Cost 350MW units</t>
  </si>
  <si>
    <t>Surface Powestation Structure Cost 80MW units</t>
  </si>
  <si>
    <t>Surface Powestation Structure Cost 350MW units</t>
  </si>
  <si>
    <t>$/kW Average Conditions</t>
  </si>
  <si>
    <t>$/kW Adverse Conditions</t>
  </si>
  <si>
    <t>Average Head, Ft</t>
  </si>
  <si>
    <t>2 Units</t>
  </si>
  <si>
    <t>3 Units</t>
  </si>
  <si>
    <t>4 Units</t>
  </si>
  <si>
    <t>6 Units</t>
  </si>
  <si>
    <t>y = 740.12x-0.298</t>
  </si>
  <si>
    <t>y = 760.42x-0.328</t>
  </si>
  <si>
    <r>
      <t>y = 645.72x</t>
    </r>
    <r>
      <rPr>
        <vertAlign val="superscript"/>
        <sz val="8"/>
        <color rgb="FF595959"/>
        <rFont val="Calibri"/>
        <family val="2"/>
        <scheme val="minor"/>
      </rPr>
      <t>-0.32</t>
    </r>
  </si>
  <si>
    <r>
      <t>y = 640.28x</t>
    </r>
    <r>
      <rPr>
        <vertAlign val="superscript"/>
        <sz val="8"/>
        <color rgb="FF595959"/>
        <rFont val="Calibri"/>
        <family val="2"/>
        <scheme val="minor"/>
      </rPr>
      <t>-0.337</t>
    </r>
  </si>
  <si>
    <r>
      <t>y = 1096.7x</t>
    </r>
    <r>
      <rPr>
        <vertAlign val="superscript"/>
        <sz val="8"/>
        <color rgb="FF595959"/>
        <rFont val="Calibri"/>
        <family val="2"/>
        <scheme val="minor"/>
      </rPr>
      <t>-0.319</t>
    </r>
  </si>
  <si>
    <r>
      <t>y = 878.1x</t>
    </r>
    <r>
      <rPr>
        <vertAlign val="superscript"/>
        <sz val="8"/>
        <color rgb="FF595959"/>
        <rFont val="Calibri"/>
        <family val="2"/>
        <scheme val="minor"/>
      </rPr>
      <t>-0.313</t>
    </r>
  </si>
  <si>
    <r>
      <t>y = 926.99x</t>
    </r>
    <r>
      <rPr>
        <vertAlign val="superscript"/>
        <sz val="8"/>
        <color rgb="FF595959"/>
        <rFont val="Calibri"/>
        <family val="2"/>
        <scheme val="minor"/>
      </rPr>
      <t>-0.337</t>
    </r>
  </si>
  <si>
    <r>
      <t>y = 911.22x</t>
    </r>
    <r>
      <rPr>
        <vertAlign val="superscript"/>
        <sz val="8"/>
        <color rgb="FF595959"/>
        <rFont val="Calibri"/>
        <family val="2"/>
        <scheme val="minor"/>
      </rPr>
      <t>-0.352</t>
    </r>
  </si>
  <si>
    <r>
      <t>y = 2032.8x</t>
    </r>
    <r>
      <rPr>
        <vertAlign val="superscript"/>
        <sz val="9"/>
        <color rgb="FF595959"/>
        <rFont val="Calibri"/>
        <family val="2"/>
      </rPr>
      <t>-0.532</t>
    </r>
  </si>
  <si>
    <r>
      <t>y = 2231.2x</t>
    </r>
    <r>
      <rPr>
        <vertAlign val="superscript"/>
        <sz val="9"/>
        <color rgb="FF595959"/>
        <rFont val="Calibri"/>
        <family val="2"/>
      </rPr>
      <t>-0.565</t>
    </r>
  </si>
  <si>
    <r>
      <t>y = 2553x</t>
    </r>
    <r>
      <rPr>
        <vertAlign val="superscript"/>
        <sz val="9"/>
        <color rgb="FF595959"/>
        <rFont val="Calibri"/>
        <family val="2"/>
      </rPr>
      <t>-0.604</t>
    </r>
  </si>
  <si>
    <r>
      <t>y = 2504.2x</t>
    </r>
    <r>
      <rPr>
        <vertAlign val="superscript"/>
        <sz val="9"/>
        <color rgb="FF595959"/>
        <rFont val="Calibri"/>
        <family val="2"/>
      </rPr>
      <t>-0.615</t>
    </r>
  </si>
  <si>
    <r>
      <t>y = 2613x</t>
    </r>
    <r>
      <rPr>
        <vertAlign val="superscript"/>
        <sz val="9"/>
        <color rgb="FF595959"/>
        <rFont val="Calibri"/>
        <family val="2"/>
      </rPr>
      <t>-0.533</t>
    </r>
  </si>
  <si>
    <r>
      <t>y = 2154.7x</t>
    </r>
    <r>
      <rPr>
        <vertAlign val="superscript"/>
        <sz val="9"/>
        <color rgb="FF595959"/>
        <rFont val="Calibri"/>
        <family val="2"/>
      </rPr>
      <t>-0.53</t>
    </r>
  </si>
  <si>
    <r>
      <t>y = 2380.6x</t>
    </r>
    <r>
      <rPr>
        <vertAlign val="superscript"/>
        <sz val="9"/>
        <color rgb="FF595959"/>
        <rFont val="Calibri"/>
        <family val="2"/>
      </rPr>
      <t>-0.559</t>
    </r>
  </si>
  <si>
    <r>
      <t>y = 4996.8x</t>
    </r>
    <r>
      <rPr>
        <vertAlign val="superscript"/>
        <sz val="9"/>
        <color rgb="FF595959"/>
        <rFont val="Calibri"/>
        <family val="2"/>
      </rPr>
      <t>-0.687</t>
    </r>
  </si>
  <si>
    <r>
      <t>y = 5E-06x</t>
    </r>
    <r>
      <rPr>
        <vertAlign val="superscript"/>
        <sz val="9"/>
        <color rgb="FF595959"/>
        <rFont val="Calibri"/>
        <family val="2"/>
      </rPr>
      <t>2</t>
    </r>
    <r>
      <rPr>
        <sz val="9"/>
        <color rgb="FF595959"/>
        <rFont val="Calibri"/>
        <family val="2"/>
      </rPr>
      <t xml:space="preserve"> - 0.0009x + 83.095</t>
    </r>
  </si>
  <si>
    <r>
      <t>y = 4E-06x</t>
    </r>
    <r>
      <rPr>
        <vertAlign val="superscript"/>
        <sz val="9"/>
        <color rgb="FF595959"/>
        <rFont val="Calibri"/>
        <family val="2"/>
      </rPr>
      <t>2</t>
    </r>
    <r>
      <rPr>
        <sz val="9"/>
        <color rgb="FF595959"/>
        <rFont val="Calibri"/>
        <family val="2"/>
      </rPr>
      <t xml:space="preserve"> + 0.0004x + 75.715</t>
    </r>
  </si>
  <si>
    <r>
      <t>y = 4E-06x</t>
    </r>
    <r>
      <rPr>
        <vertAlign val="superscript"/>
        <sz val="9"/>
        <color rgb="FF595959"/>
        <rFont val="Calibri"/>
        <family val="2"/>
      </rPr>
      <t>2</t>
    </r>
    <r>
      <rPr>
        <sz val="9"/>
        <color rgb="FF595959"/>
        <rFont val="Calibri"/>
        <family val="2"/>
      </rPr>
      <t xml:space="preserve"> + 0.0021x + 71.437</t>
    </r>
  </si>
  <si>
    <r>
      <t>y = 6E-07x</t>
    </r>
    <r>
      <rPr>
        <vertAlign val="superscript"/>
        <sz val="9"/>
        <color rgb="FF595959"/>
        <rFont val="Calibri"/>
        <family val="2"/>
      </rPr>
      <t>2</t>
    </r>
    <r>
      <rPr>
        <sz val="9"/>
        <color rgb="FF595959"/>
        <rFont val="Calibri"/>
        <family val="2"/>
      </rPr>
      <t xml:space="preserve"> + 0.0109x + 62.383</t>
    </r>
  </si>
  <si>
    <r>
      <t>y = 3E-06x</t>
    </r>
    <r>
      <rPr>
        <vertAlign val="superscript"/>
        <sz val="9"/>
        <color rgb="FF595959"/>
        <rFont val="Calibri"/>
        <family val="2"/>
      </rPr>
      <t>2</t>
    </r>
    <r>
      <rPr>
        <sz val="9"/>
        <color rgb="FF595959"/>
        <rFont val="Calibri"/>
        <family val="2"/>
      </rPr>
      <t xml:space="preserve"> + 0.0062x + 109.48</t>
    </r>
  </si>
  <si>
    <r>
      <t>y = 1E-06x</t>
    </r>
    <r>
      <rPr>
        <vertAlign val="superscript"/>
        <sz val="9"/>
        <color rgb="FF595959"/>
        <rFont val="Calibri"/>
        <family val="2"/>
      </rPr>
      <t>2</t>
    </r>
    <r>
      <rPr>
        <sz val="9"/>
        <color rgb="FF595959"/>
        <rFont val="Calibri"/>
        <family val="2"/>
      </rPr>
      <t xml:space="preserve"> + 0.0099x + 90.767</t>
    </r>
  </si>
  <si>
    <r>
      <t>y = 2E-06x</t>
    </r>
    <r>
      <rPr>
        <vertAlign val="superscript"/>
        <sz val="9"/>
        <color rgb="FF595959"/>
        <rFont val="Calibri"/>
        <family val="2"/>
      </rPr>
      <t>2</t>
    </r>
    <r>
      <rPr>
        <sz val="9"/>
        <color rgb="FF595959"/>
        <rFont val="Calibri"/>
        <family val="2"/>
      </rPr>
      <t xml:space="preserve"> + 0.0073x + 84.676</t>
    </r>
  </si>
  <si>
    <r>
      <t>y = -1E-07x</t>
    </r>
    <r>
      <rPr>
        <vertAlign val="superscript"/>
        <sz val="9"/>
        <color rgb="FF595959"/>
        <rFont val="Calibri"/>
        <family val="2"/>
      </rPr>
      <t>2</t>
    </r>
    <r>
      <rPr>
        <sz val="9"/>
        <color rgb="FF595959"/>
        <rFont val="Calibri"/>
        <family val="2"/>
      </rPr>
      <t xml:space="preserve"> + 0.0123x + 73.167</t>
    </r>
  </si>
  <si>
    <r>
      <t>y = 6E-06x</t>
    </r>
    <r>
      <rPr>
        <vertAlign val="superscript"/>
        <sz val="9"/>
        <color rgb="FF595959"/>
        <rFont val="Calibri"/>
        <family val="2"/>
      </rPr>
      <t>2</t>
    </r>
    <r>
      <rPr>
        <sz val="9"/>
        <color rgb="FF595959"/>
        <rFont val="Calibri"/>
        <family val="2"/>
      </rPr>
      <t xml:space="preserve"> - 0.0183x + 43.547</t>
    </r>
  </si>
  <si>
    <r>
      <t>y = 7E-06x</t>
    </r>
    <r>
      <rPr>
        <vertAlign val="superscript"/>
        <sz val="9"/>
        <color rgb="FF595959"/>
        <rFont val="Calibri"/>
        <family val="2"/>
      </rPr>
      <t>2</t>
    </r>
    <r>
      <rPr>
        <sz val="9"/>
        <color rgb="FF595959"/>
        <rFont val="Calibri"/>
        <family val="2"/>
      </rPr>
      <t xml:space="preserve"> - 0.0198x + 41.489</t>
    </r>
  </si>
  <si>
    <r>
      <t>y = 6E-06x</t>
    </r>
    <r>
      <rPr>
        <vertAlign val="superscript"/>
        <sz val="9"/>
        <color rgb="FF595959"/>
        <rFont val="Calibri"/>
        <family val="2"/>
      </rPr>
      <t>2</t>
    </r>
    <r>
      <rPr>
        <sz val="9"/>
        <color rgb="FF595959"/>
        <rFont val="Calibri"/>
        <family val="2"/>
      </rPr>
      <t xml:space="preserve"> - 0.0162x + 36.672</t>
    </r>
  </si>
  <si>
    <r>
      <t>y = 5E-06x</t>
    </r>
    <r>
      <rPr>
        <vertAlign val="superscript"/>
        <sz val="9"/>
        <color rgb="FF595959"/>
        <rFont val="Calibri"/>
        <family val="2"/>
      </rPr>
      <t>2</t>
    </r>
    <r>
      <rPr>
        <sz val="9"/>
        <color rgb="FF595959"/>
        <rFont val="Calibri"/>
        <family val="2"/>
      </rPr>
      <t xml:space="preserve"> - 0.0128x + 33.573</t>
    </r>
  </si>
  <si>
    <r>
      <t>y = 1E-05x</t>
    </r>
    <r>
      <rPr>
        <vertAlign val="superscript"/>
        <sz val="9"/>
        <color rgb="FF595959"/>
        <rFont val="Calibri"/>
        <family val="2"/>
      </rPr>
      <t>2</t>
    </r>
    <r>
      <rPr>
        <sz val="9"/>
        <color rgb="FF595959"/>
        <rFont val="Calibri"/>
        <family val="2"/>
      </rPr>
      <t xml:space="preserve"> - 0.0308x + 67.023</t>
    </r>
  </si>
  <si>
    <r>
      <t>y = 7E-06x</t>
    </r>
    <r>
      <rPr>
        <vertAlign val="superscript"/>
        <sz val="9"/>
        <color rgb="FF595959"/>
        <rFont val="Calibri"/>
        <family val="2"/>
      </rPr>
      <t>2</t>
    </r>
    <r>
      <rPr>
        <sz val="9"/>
        <color rgb="FF595959"/>
        <rFont val="Calibri"/>
        <family val="2"/>
      </rPr>
      <t xml:space="preserve"> - 0.0207x + 54.238</t>
    </r>
  </si>
  <si>
    <r>
      <t>y = 7E-06x</t>
    </r>
    <r>
      <rPr>
        <vertAlign val="superscript"/>
        <sz val="9"/>
        <color rgb="FF595959"/>
        <rFont val="Calibri"/>
        <family val="2"/>
      </rPr>
      <t>2</t>
    </r>
    <r>
      <rPr>
        <sz val="9"/>
        <color rgb="FF595959"/>
        <rFont val="Calibri"/>
        <family val="2"/>
      </rPr>
      <t xml:space="preserve"> - 0.0205x + 50.886</t>
    </r>
  </si>
  <si>
    <r>
      <t>y = 5E-06x</t>
    </r>
    <r>
      <rPr>
        <vertAlign val="superscript"/>
        <sz val="9"/>
        <color rgb="FF595959"/>
        <rFont val="Calibri"/>
        <family val="2"/>
      </rPr>
      <t>2</t>
    </r>
    <r>
      <rPr>
        <sz val="9"/>
        <color rgb="FF595959"/>
        <rFont val="Calibri"/>
        <family val="2"/>
      </rPr>
      <t xml:space="preserve"> - 0.0146x + 43.361</t>
    </r>
  </si>
  <si>
    <t>Est. $/kW</t>
  </si>
  <si>
    <t>Underground Powestation Structure Cost 125MW units</t>
  </si>
  <si>
    <t>Underground Powestation Structure Cost 225MW units</t>
  </si>
  <si>
    <t>Surface Powestation Structure Cost 125MW units</t>
  </si>
  <si>
    <t>Surface Powestation Structure Cost 225MW units</t>
  </si>
  <si>
    <r>
      <t>y = 1229.6x</t>
    </r>
    <r>
      <rPr>
        <vertAlign val="superscript"/>
        <sz val="9"/>
        <color rgb="FF595959"/>
        <rFont val="Calibri"/>
        <family val="2"/>
      </rPr>
      <t>-0.405</t>
    </r>
  </si>
  <si>
    <r>
      <t>y = 1113.2x</t>
    </r>
    <r>
      <rPr>
        <vertAlign val="superscript"/>
        <sz val="9"/>
        <color rgb="FF595959"/>
        <rFont val="Calibri"/>
        <family val="2"/>
      </rPr>
      <t>-0.412</t>
    </r>
  </si>
  <si>
    <r>
      <t>y = 1126.8x</t>
    </r>
    <r>
      <rPr>
        <vertAlign val="superscript"/>
        <sz val="9"/>
        <color rgb="FF595959"/>
        <rFont val="Calibri"/>
        <family val="2"/>
      </rPr>
      <t>-0.431</t>
    </r>
  </si>
  <si>
    <r>
      <t>y = 1195.5x</t>
    </r>
    <r>
      <rPr>
        <vertAlign val="superscript"/>
        <sz val="9"/>
        <color rgb="FF595959"/>
        <rFont val="Calibri"/>
        <family val="2"/>
      </rPr>
      <t>-0.454</t>
    </r>
  </si>
  <si>
    <r>
      <t>y = 1435.5x</t>
    </r>
    <r>
      <rPr>
        <vertAlign val="superscript"/>
        <sz val="9"/>
        <color rgb="FF595959"/>
        <rFont val="Calibri"/>
        <family val="2"/>
      </rPr>
      <t>-0.392</t>
    </r>
  </si>
  <si>
    <r>
      <t>y = 1258x</t>
    </r>
    <r>
      <rPr>
        <vertAlign val="superscript"/>
        <sz val="9"/>
        <color rgb="FF595959"/>
        <rFont val="Calibri"/>
        <family val="2"/>
      </rPr>
      <t>-0.396</t>
    </r>
  </si>
  <si>
    <r>
      <t>y = 1375x</t>
    </r>
    <r>
      <rPr>
        <vertAlign val="superscript"/>
        <sz val="9"/>
        <color rgb="FF595959"/>
        <rFont val="Calibri"/>
        <family val="2"/>
      </rPr>
      <t>-0.424</t>
    </r>
  </si>
  <si>
    <r>
      <t>y = 1131x</t>
    </r>
    <r>
      <rPr>
        <vertAlign val="superscript"/>
        <sz val="9"/>
        <color rgb="FF595959"/>
        <rFont val="Calibri"/>
        <family val="2"/>
      </rPr>
      <t>-0.41</t>
    </r>
  </si>
  <si>
    <r>
      <t>y = 2163.3x</t>
    </r>
    <r>
      <rPr>
        <vertAlign val="superscript"/>
        <sz val="9"/>
        <color rgb="FF595959"/>
        <rFont val="Calibri"/>
        <family val="2"/>
      </rPr>
      <t>-0.512</t>
    </r>
  </si>
  <si>
    <r>
      <t>y = 1725.2x</t>
    </r>
    <r>
      <rPr>
        <vertAlign val="superscript"/>
        <sz val="9"/>
        <color rgb="FF595959"/>
        <rFont val="Calibri"/>
        <family val="2"/>
      </rPr>
      <t>-0.501</t>
    </r>
  </si>
  <si>
    <r>
      <t>y = 1735.2x</t>
    </r>
    <r>
      <rPr>
        <vertAlign val="superscript"/>
        <sz val="9"/>
        <color rgb="FF595959"/>
        <rFont val="Calibri"/>
        <family val="2"/>
      </rPr>
      <t>-0.52</t>
    </r>
  </si>
  <si>
    <r>
      <t>y = 1578.2x</t>
    </r>
    <r>
      <rPr>
        <vertAlign val="superscript"/>
        <sz val="9"/>
        <color rgb="FF595959"/>
        <rFont val="Calibri"/>
        <family val="2"/>
      </rPr>
      <t>-0.524</t>
    </r>
  </si>
  <si>
    <r>
      <t>y = 2315.8x</t>
    </r>
    <r>
      <rPr>
        <vertAlign val="superscript"/>
        <sz val="9"/>
        <color rgb="FF595959"/>
        <rFont val="Calibri"/>
        <family val="2"/>
      </rPr>
      <t>-0.49</t>
    </r>
  </si>
  <si>
    <r>
      <t>y = 2194.6x</t>
    </r>
    <r>
      <rPr>
        <vertAlign val="superscript"/>
        <sz val="9"/>
        <color rgb="FF595959"/>
        <rFont val="Calibri"/>
        <family val="2"/>
      </rPr>
      <t>-0.505</t>
    </r>
  </si>
  <si>
    <r>
      <t>y = 2353.1x</t>
    </r>
    <r>
      <rPr>
        <vertAlign val="superscript"/>
        <sz val="9"/>
        <color rgb="FF595959"/>
        <rFont val="Calibri"/>
        <family val="2"/>
      </rPr>
      <t>-0.53</t>
    </r>
  </si>
  <si>
    <r>
      <t>y = 2162.4x</t>
    </r>
    <r>
      <rPr>
        <vertAlign val="superscript"/>
        <sz val="9"/>
        <color rgb="FF595959"/>
        <rFont val="Calibri"/>
        <family val="2"/>
      </rPr>
      <t>-0.533</t>
    </r>
  </si>
  <si>
    <r>
      <t>y = 7E-06x</t>
    </r>
    <r>
      <rPr>
        <vertAlign val="superscript"/>
        <sz val="9"/>
        <color rgb="FF595959"/>
        <rFont val="Calibri"/>
        <family val="2"/>
      </rPr>
      <t>2</t>
    </r>
    <r>
      <rPr>
        <sz val="9"/>
        <color rgb="FF595959"/>
        <rFont val="Calibri"/>
        <family val="2"/>
      </rPr>
      <t xml:space="preserve"> - 0.0146x + 67.574</t>
    </r>
  </si>
  <si>
    <r>
      <t>y = 7E-06x</t>
    </r>
    <r>
      <rPr>
        <vertAlign val="superscript"/>
        <sz val="9"/>
        <color rgb="FF595959"/>
        <rFont val="Calibri"/>
        <family val="2"/>
      </rPr>
      <t>2</t>
    </r>
    <r>
      <rPr>
        <sz val="9"/>
        <color rgb="FF595959"/>
        <rFont val="Calibri"/>
        <family val="2"/>
      </rPr>
      <t xml:space="preserve"> - 0.0117x + 59.042</t>
    </r>
  </si>
  <si>
    <r>
      <t>y = 5E-06x</t>
    </r>
    <r>
      <rPr>
        <vertAlign val="superscript"/>
        <sz val="9"/>
        <color rgb="FF595959"/>
        <rFont val="Calibri"/>
        <family val="2"/>
      </rPr>
      <t>2</t>
    </r>
    <r>
      <rPr>
        <sz val="9"/>
        <color rgb="FF595959"/>
        <rFont val="Calibri"/>
        <family val="2"/>
      </rPr>
      <t xml:space="preserve"> - 0.0065x + 54.377</t>
    </r>
  </si>
  <si>
    <r>
      <t>y = 3E-06x</t>
    </r>
    <r>
      <rPr>
        <vertAlign val="superscript"/>
        <sz val="9"/>
        <color rgb="FF595959"/>
        <rFont val="Calibri"/>
        <family val="2"/>
      </rPr>
      <t>2</t>
    </r>
    <r>
      <rPr>
        <sz val="9"/>
        <color rgb="FF595959"/>
        <rFont val="Calibri"/>
        <family val="2"/>
      </rPr>
      <t xml:space="preserve"> - 0.0018x + 48.04</t>
    </r>
  </si>
  <si>
    <r>
      <t>y = 4E-06x</t>
    </r>
    <r>
      <rPr>
        <vertAlign val="superscript"/>
        <sz val="9"/>
        <color rgb="FF595959"/>
        <rFont val="Calibri"/>
        <family val="2"/>
      </rPr>
      <t>2</t>
    </r>
    <r>
      <rPr>
        <sz val="9"/>
        <color rgb="FF595959"/>
        <rFont val="Calibri"/>
        <family val="2"/>
      </rPr>
      <t xml:space="preserve"> - 0.0039x + 90.761</t>
    </r>
  </si>
  <si>
    <r>
      <t>y = 2E-06x</t>
    </r>
    <r>
      <rPr>
        <vertAlign val="superscript"/>
        <sz val="9"/>
        <color rgb="FF595959"/>
        <rFont val="Calibri"/>
        <family val="2"/>
      </rPr>
      <t>2</t>
    </r>
    <r>
      <rPr>
        <sz val="9"/>
        <color rgb="FF595959"/>
        <rFont val="Calibri"/>
        <family val="2"/>
      </rPr>
      <t xml:space="preserve"> + 0.0008x + 75.02</t>
    </r>
  </si>
  <si>
    <r>
      <t>y = 2E-06x</t>
    </r>
    <r>
      <rPr>
        <vertAlign val="superscript"/>
        <sz val="9"/>
        <color rgb="FF595959"/>
        <rFont val="Calibri"/>
        <family val="2"/>
      </rPr>
      <t>2</t>
    </r>
    <r>
      <rPr>
        <sz val="9"/>
        <color rgb="FF595959"/>
        <rFont val="Calibri"/>
        <family val="2"/>
      </rPr>
      <t xml:space="preserve"> + 0.0002x + 70.655</t>
    </r>
  </si>
  <si>
    <r>
      <t>y = 2E-06x</t>
    </r>
    <r>
      <rPr>
        <vertAlign val="superscript"/>
        <sz val="9"/>
        <color rgb="FF595959"/>
        <rFont val="Calibri"/>
        <family val="2"/>
      </rPr>
      <t>2</t>
    </r>
    <r>
      <rPr>
        <sz val="9"/>
        <color rgb="FF595959"/>
        <rFont val="Calibri"/>
        <family val="2"/>
      </rPr>
      <t xml:space="preserve"> + 0.002x + 62.446</t>
    </r>
  </si>
  <si>
    <r>
      <t>y = 6E-06x</t>
    </r>
    <r>
      <rPr>
        <vertAlign val="superscript"/>
        <sz val="9"/>
        <color rgb="FF595959"/>
        <rFont val="Calibri"/>
        <family val="2"/>
      </rPr>
      <t>2</t>
    </r>
    <r>
      <rPr>
        <sz val="9"/>
        <color rgb="FF595959"/>
        <rFont val="Calibri"/>
        <family val="2"/>
      </rPr>
      <t xml:space="preserve"> - 0.0159x + 53.593</t>
    </r>
  </si>
  <si>
    <r>
      <t>y = 6E-06x</t>
    </r>
    <r>
      <rPr>
        <vertAlign val="superscript"/>
        <sz val="9"/>
        <color rgb="FF595959"/>
        <rFont val="Calibri"/>
        <family val="2"/>
      </rPr>
      <t>2</t>
    </r>
    <r>
      <rPr>
        <sz val="9"/>
        <color rgb="FF595959"/>
        <rFont val="Calibri"/>
        <family val="2"/>
      </rPr>
      <t xml:space="preserve"> - 0.0157x + 47.989</t>
    </r>
  </si>
  <si>
    <r>
      <t>y = 5E-06x</t>
    </r>
    <r>
      <rPr>
        <vertAlign val="superscript"/>
        <sz val="9"/>
        <color rgb="FF595959"/>
        <rFont val="Calibri"/>
        <family val="2"/>
      </rPr>
      <t>2</t>
    </r>
    <r>
      <rPr>
        <sz val="9"/>
        <color rgb="FF595959"/>
        <rFont val="Calibri"/>
        <family val="2"/>
      </rPr>
      <t xml:space="preserve"> - 0.0116x + 43.522</t>
    </r>
  </si>
  <si>
    <r>
      <t>y = 3E-06x</t>
    </r>
    <r>
      <rPr>
        <vertAlign val="superscript"/>
        <sz val="9"/>
        <color rgb="FF595959"/>
        <rFont val="Calibri"/>
        <family val="2"/>
      </rPr>
      <t>2</t>
    </r>
    <r>
      <rPr>
        <sz val="9"/>
        <color rgb="FF595959"/>
        <rFont val="Calibri"/>
        <family val="2"/>
      </rPr>
      <t xml:space="preserve"> - 0.0078x + 39.647</t>
    </r>
  </si>
  <si>
    <r>
      <t>y = 8E-06x</t>
    </r>
    <r>
      <rPr>
        <vertAlign val="superscript"/>
        <sz val="9"/>
        <color rgb="FF595959"/>
        <rFont val="Calibri"/>
        <family val="2"/>
      </rPr>
      <t>2</t>
    </r>
    <r>
      <rPr>
        <sz val="9"/>
        <color rgb="FF595959"/>
        <rFont val="Calibri"/>
        <family val="2"/>
      </rPr>
      <t xml:space="preserve"> - 0.0241x + 80.261</t>
    </r>
  </si>
  <si>
    <r>
      <t>y = 5E-06x</t>
    </r>
    <r>
      <rPr>
        <vertAlign val="superscript"/>
        <sz val="9"/>
        <color rgb="FF595959"/>
        <rFont val="Calibri"/>
        <family val="2"/>
      </rPr>
      <t>2</t>
    </r>
    <r>
      <rPr>
        <sz val="9"/>
        <color rgb="FF595959"/>
        <rFont val="Calibri"/>
        <family val="2"/>
      </rPr>
      <t xml:space="preserve"> - 0.0155x + 65.884</t>
    </r>
  </si>
  <si>
    <r>
      <t>y = 6E-06x</t>
    </r>
    <r>
      <rPr>
        <vertAlign val="superscript"/>
        <sz val="9"/>
        <color rgb="FF595959"/>
        <rFont val="Calibri"/>
        <family val="2"/>
      </rPr>
      <t>2</t>
    </r>
    <r>
      <rPr>
        <sz val="9"/>
        <color rgb="FF595959"/>
        <rFont val="Calibri"/>
        <family val="2"/>
      </rPr>
      <t xml:space="preserve"> - 0.0165x + 61.35</t>
    </r>
  </si>
  <si>
    <r>
      <t>y = 4E-06x</t>
    </r>
    <r>
      <rPr>
        <vertAlign val="superscript"/>
        <sz val="9"/>
        <color rgb="FF595959"/>
        <rFont val="Calibri"/>
        <family val="2"/>
      </rPr>
      <t>2</t>
    </r>
    <r>
      <rPr>
        <sz val="9"/>
        <color rgb="FF595959"/>
        <rFont val="Calibri"/>
        <family val="2"/>
      </rPr>
      <t xml:space="preserve"> - 0.0099x + 52.44</t>
    </r>
  </si>
  <si>
    <t>Embankment Structure Cost $/CY</t>
  </si>
  <si>
    <t>Cost of Intakes/Outlets $M</t>
  </si>
  <si>
    <t>Cost of concrete lined water conductors</t>
  </si>
  <si>
    <t>Cost of Vertical Shafts $/LF</t>
  </si>
  <si>
    <t>Average Dam Height, Ft</t>
  </si>
  <si>
    <t>Unit Volume CY/FT * 1000</t>
  </si>
  <si>
    <t>Total Dam Volume (CY x 10^6)</t>
  </si>
  <si>
    <t>Unit Cost $/CY</t>
  </si>
  <si>
    <t>1/x</t>
  </si>
  <si>
    <t>1/y</t>
  </si>
  <si>
    <t>hyperbolic fit</t>
  </si>
  <si>
    <t>Water Conductor Diameter, Ft</t>
  </si>
  <si>
    <t>Horizontal Intake</t>
  </si>
  <si>
    <t>Vertical Intake</t>
  </si>
  <si>
    <t>$/LF Average Tunneling Conditions</t>
  </si>
  <si>
    <t>$/LF Poor Tunneling Conditions</t>
  </si>
  <si>
    <t>Shaft Diameter, Ft</t>
  </si>
  <si>
    <t>$/LF</t>
  </si>
  <si>
    <r>
      <t>0.0154x</t>
    </r>
    <r>
      <rPr>
        <vertAlign val="superscript"/>
        <sz val="8"/>
        <color theme="1"/>
        <rFont val="Calibri"/>
        <family val="2"/>
      </rPr>
      <t>2</t>
    </r>
    <r>
      <rPr>
        <sz val="8"/>
        <color theme="1"/>
        <rFont val="Calibri"/>
        <family val="2"/>
      </rPr>
      <t xml:space="preserve"> - 0.1968x + 1.85</t>
    </r>
  </si>
  <si>
    <t>Inside Diameter, Ft</t>
  </si>
  <si>
    <t>1/2 Mile</t>
  </si>
  <si>
    <t>1 Mile</t>
  </si>
  <si>
    <t>2 Mile</t>
  </si>
  <si>
    <t>4 Mile</t>
  </si>
  <si>
    <t>horizontal</t>
  </si>
  <si>
    <t>186.57x + 27.143</t>
  </si>
  <si>
    <r>
      <t>0.0046x</t>
    </r>
    <r>
      <rPr>
        <vertAlign val="superscript"/>
        <sz val="8"/>
        <color theme="1"/>
        <rFont val="Calibri"/>
        <family val="2"/>
      </rPr>
      <t>2</t>
    </r>
    <r>
      <rPr>
        <sz val="8"/>
        <color theme="1"/>
        <rFont val="Calibri"/>
        <family val="2"/>
      </rPr>
      <t xml:space="preserve"> - 0.0819x + 0.5993</t>
    </r>
  </si>
  <si>
    <t>$/lf</t>
  </si>
  <si>
    <t>vertical</t>
  </si>
  <si>
    <t>y = (7.75204x)/(x - 0.049591)</t>
  </si>
  <si>
    <r>
      <t>3.9286x</t>
    </r>
    <r>
      <rPr>
        <vertAlign val="superscript"/>
        <sz val="8"/>
        <color theme="1"/>
        <rFont val="Calibri"/>
        <family val="2"/>
      </rPr>
      <t>2</t>
    </r>
    <r>
      <rPr>
        <sz val="8"/>
        <color theme="1"/>
        <rFont val="Calibri"/>
        <family val="2"/>
      </rPr>
      <t xml:space="preserve"> + 10.071x + 481.43</t>
    </r>
  </si>
  <si>
    <r>
      <t>4.3214x</t>
    </r>
    <r>
      <rPr>
        <vertAlign val="superscript"/>
        <sz val="8"/>
        <color theme="1"/>
        <rFont val="Calibri"/>
        <family val="2"/>
      </rPr>
      <t>2</t>
    </r>
    <r>
      <rPr>
        <sz val="8"/>
        <color theme="1"/>
        <rFont val="Calibri"/>
        <family val="2"/>
      </rPr>
      <t xml:space="preserve"> - 5.6071x + 815</t>
    </r>
  </si>
  <si>
    <r>
      <t>5.5536x</t>
    </r>
    <r>
      <rPr>
        <vertAlign val="superscript"/>
        <sz val="8"/>
        <color theme="1"/>
        <rFont val="Calibri"/>
        <family val="2"/>
      </rPr>
      <t>2</t>
    </r>
    <r>
      <rPr>
        <sz val="8"/>
        <color theme="1"/>
        <rFont val="Calibri"/>
        <family val="2"/>
      </rPr>
      <t xml:space="preserve"> - 42.339x + 1165.4</t>
    </r>
  </si>
  <si>
    <r>
      <t>7.6786x</t>
    </r>
    <r>
      <rPr>
        <vertAlign val="superscript"/>
        <sz val="8"/>
        <color theme="1"/>
        <rFont val="Calibri"/>
        <family val="2"/>
      </rPr>
      <t>2</t>
    </r>
    <r>
      <rPr>
        <sz val="8"/>
        <color theme="1"/>
        <rFont val="Calibri"/>
        <family val="2"/>
      </rPr>
      <t xml:space="preserve"> - 103.54x + 1690.7</t>
    </r>
  </si>
  <si>
    <r>
      <t>6.6786x</t>
    </r>
    <r>
      <rPr>
        <vertAlign val="superscript"/>
        <sz val="8"/>
        <color theme="1"/>
        <rFont val="Calibri"/>
        <family val="2"/>
      </rPr>
      <t>2</t>
    </r>
    <r>
      <rPr>
        <sz val="8"/>
        <color theme="1"/>
        <rFont val="Calibri"/>
        <family val="2"/>
      </rPr>
      <t xml:space="preserve"> - 17.393x + 915</t>
    </r>
  </si>
  <si>
    <r>
      <t>6.25x</t>
    </r>
    <r>
      <rPr>
        <vertAlign val="superscript"/>
        <sz val="8"/>
        <color theme="1"/>
        <rFont val="Calibri"/>
        <family val="2"/>
      </rPr>
      <t>2</t>
    </r>
    <r>
      <rPr>
        <sz val="8"/>
        <color theme="1"/>
        <rFont val="Calibri"/>
        <family val="2"/>
      </rPr>
      <t xml:space="preserve"> + 7.8929x + 819.29</t>
    </r>
  </si>
  <si>
    <r>
      <t>6.7143x</t>
    </r>
    <r>
      <rPr>
        <vertAlign val="superscript"/>
        <sz val="8"/>
        <color theme="1"/>
        <rFont val="Calibri"/>
        <family val="2"/>
      </rPr>
      <t>2</t>
    </r>
    <r>
      <rPr>
        <sz val="8"/>
        <color theme="1"/>
        <rFont val="Calibri"/>
        <family val="2"/>
      </rPr>
      <t xml:space="preserve"> + 13.857x + 732.86</t>
    </r>
  </si>
  <si>
    <r>
      <t>11.107x</t>
    </r>
    <r>
      <rPr>
        <vertAlign val="superscript"/>
        <sz val="8"/>
        <color theme="1"/>
        <rFont val="Calibri"/>
        <family val="2"/>
      </rPr>
      <t>2</t>
    </r>
    <r>
      <rPr>
        <sz val="8"/>
        <color theme="1"/>
        <rFont val="Calibri"/>
        <family val="2"/>
      </rPr>
      <t xml:space="preserve"> - 120.11x + 1777.9</t>
    </r>
  </si>
  <si>
    <t>Upper Dam</t>
  </si>
  <si>
    <t>Lower Dam</t>
  </si>
  <si>
    <t>slope-&gt;</t>
  </si>
  <si>
    <t>$/CY Upper</t>
  </si>
  <si>
    <t>U.Unit Volume CY/Ft</t>
  </si>
  <si>
    <t>L.Unit Volume CY/Ft</t>
  </si>
  <si>
    <t>hyper k-&gt;</t>
  </si>
  <si>
    <t>$/CY Lower</t>
  </si>
  <si>
    <t>U.Total Volume CY</t>
  </si>
  <si>
    <t>L.Total Volume CY</t>
  </si>
  <si>
    <t>intercept-&gt;</t>
  </si>
  <si>
    <t>U.Volume CY * 10^6</t>
  </si>
  <si>
    <t>L.Volume CY * 10^6</t>
  </si>
  <si>
    <t>hyper m-&gt;</t>
  </si>
  <si>
    <t>Penstock Tunnel Max Velocity</t>
  </si>
  <si>
    <t>Draft Tube Tunnel Max Velocity</t>
  </si>
  <si>
    <t>Cost of Pennstocks and Draft Tube Tunnels $/Ft</t>
  </si>
  <si>
    <t>Cost of Surface Pennstocks $/Ft</t>
  </si>
  <si>
    <t>Head (ft)</t>
  </si>
  <si>
    <t>Velocity (Fps)</t>
  </si>
  <si>
    <t>Diameter, Ft</t>
  </si>
  <si>
    <t>500 Ft</t>
  </si>
  <si>
    <t>1000 Ft</t>
  </si>
  <si>
    <t>1500 Ft</t>
  </si>
  <si>
    <t>2000 Ft</t>
  </si>
  <si>
    <t>300 Ft</t>
  </si>
  <si>
    <t>700 Ft</t>
  </si>
  <si>
    <t>0.0074x + 16.512</t>
  </si>
  <si>
    <t>0.0046x + 7.516</t>
  </si>
  <si>
    <r>
      <t>47.162x</t>
    </r>
    <r>
      <rPr>
        <vertAlign val="superscript"/>
        <sz val="8"/>
        <color theme="1"/>
        <rFont val="Calibri"/>
        <family val="2"/>
      </rPr>
      <t>1.6615</t>
    </r>
  </si>
  <si>
    <r>
      <t>43.711x</t>
    </r>
    <r>
      <rPr>
        <vertAlign val="superscript"/>
        <sz val="8"/>
        <color theme="1"/>
        <rFont val="Calibri"/>
        <family val="2"/>
      </rPr>
      <t>1.7314</t>
    </r>
  </si>
  <si>
    <r>
      <t>45.454x</t>
    </r>
    <r>
      <rPr>
        <vertAlign val="superscript"/>
        <sz val="8"/>
        <color theme="1"/>
        <rFont val="Calibri"/>
        <family val="2"/>
      </rPr>
      <t>1.8126</t>
    </r>
  </si>
  <si>
    <r>
      <t>60.182x</t>
    </r>
    <r>
      <rPr>
        <vertAlign val="superscript"/>
        <sz val="8"/>
        <color theme="1"/>
        <rFont val="Calibri"/>
        <family val="2"/>
      </rPr>
      <t>1.7959</t>
    </r>
  </si>
  <si>
    <r>
      <t>0.02x</t>
    </r>
    <r>
      <rPr>
        <vertAlign val="superscript"/>
        <sz val="8"/>
        <color theme="1"/>
        <rFont val="Calibri"/>
        <family val="2"/>
      </rPr>
      <t>1.885</t>
    </r>
  </si>
  <si>
    <r>
      <t>0.0226x</t>
    </r>
    <r>
      <rPr>
        <vertAlign val="superscript"/>
        <sz val="8"/>
        <color theme="1"/>
        <rFont val="Calibri"/>
        <family val="2"/>
      </rPr>
      <t>1.9901</t>
    </r>
  </si>
  <si>
    <r>
      <t>0.0365x</t>
    </r>
    <r>
      <rPr>
        <vertAlign val="superscript"/>
        <sz val="8"/>
        <color theme="1"/>
        <rFont val="Calibri"/>
        <family val="2"/>
      </rPr>
      <t>1.9417</t>
    </r>
  </si>
  <si>
    <r>
      <t>0.0483x</t>
    </r>
    <r>
      <rPr>
        <vertAlign val="superscript"/>
        <sz val="8"/>
        <color theme="1"/>
        <rFont val="Calibri"/>
        <family val="2"/>
      </rPr>
      <t>1.9694</t>
    </r>
  </si>
  <si>
    <r>
      <t>0.0721x</t>
    </r>
    <r>
      <rPr>
        <vertAlign val="superscript"/>
        <sz val="8"/>
        <color theme="1"/>
        <rFont val="Calibri"/>
        <family val="2"/>
      </rPr>
      <t>1.9647</t>
    </r>
  </si>
  <si>
    <t>Draft Tube</t>
  </si>
  <si>
    <t>Underground Powerstation Equipment Costs 80MW Units $/kW</t>
  </si>
  <si>
    <t>Underground Powerstation Equipment Costs 125MW Units $/kW</t>
  </si>
  <si>
    <t>Underground Powerstation Equipment Costs 225MW Units $/kW</t>
  </si>
  <si>
    <t>Underground Powerstation Equipment Costs 350MW Units $/kW</t>
  </si>
  <si>
    <t>160 MW</t>
  </si>
  <si>
    <t>240 MW</t>
  </si>
  <si>
    <t>320 MW</t>
  </si>
  <si>
    <t>480 MW</t>
  </si>
  <si>
    <t>250 MW</t>
  </si>
  <si>
    <t>375 MW</t>
  </si>
  <si>
    <t>500 MW</t>
  </si>
  <si>
    <t>750 MW</t>
  </si>
  <si>
    <t>450 MW</t>
  </si>
  <si>
    <t>675 MW</t>
  </si>
  <si>
    <t>900 MW</t>
  </si>
  <si>
    <t>1350 MW</t>
  </si>
  <si>
    <t>700 MW</t>
  </si>
  <si>
    <t>1050 MW</t>
  </si>
  <si>
    <t>1400 MW</t>
  </si>
  <si>
    <t>2100 MW</t>
  </si>
  <si>
    <r>
      <t>2E-05x</t>
    </r>
    <r>
      <rPr>
        <vertAlign val="superscript"/>
        <sz val="8"/>
        <color theme="1"/>
        <rFont val="Calibri"/>
        <family val="2"/>
      </rPr>
      <t>2</t>
    </r>
    <r>
      <rPr>
        <sz val="8"/>
        <color theme="1"/>
        <rFont val="Calibri"/>
        <family val="2"/>
      </rPr>
      <t xml:space="preserve"> - 0.0609x + 259.97</t>
    </r>
  </si>
  <si>
    <r>
      <t>2E-05x</t>
    </r>
    <r>
      <rPr>
        <vertAlign val="superscript"/>
        <sz val="8"/>
        <color theme="1"/>
        <rFont val="Calibri"/>
        <family val="2"/>
      </rPr>
      <t>2</t>
    </r>
    <r>
      <rPr>
        <sz val="8"/>
        <color theme="1"/>
        <rFont val="Calibri"/>
        <family val="2"/>
      </rPr>
      <t xml:space="preserve"> - 0.0609x + 247.79</t>
    </r>
  </si>
  <si>
    <r>
      <t>2E-05x</t>
    </r>
    <r>
      <rPr>
        <vertAlign val="superscript"/>
        <sz val="8"/>
        <color theme="1"/>
        <rFont val="Calibri"/>
        <family val="2"/>
      </rPr>
      <t>2</t>
    </r>
    <r>
      <rPr>
        <sz val="8"/>
        <color theme="1"/>
        <rFont val="Calibri"/>
        <family val="2"/>
      </rPr>
      <t xml:space="preserve"> - 0.0617x + 241.53</t>
    </r>
  </si>
  <si>
    <r>
      <t>2E-05x</t>
    </r>
    <r>
      <rPr>
        <vertAlign val="superscript"/>
        <sz val="8"/>
        <color theme="1"/>
        <rFont val="Calibri"/>
        <family val="2"/>
      </rPr>
      <t>2</t>
    </r>
    <r>
      <rPr>
        <sz val="8"/>
        <color theme="1"/>
        <rFont val="Calibri"/>
        <family val="2"/>
      </rPr>
      <t xml:space="preserve"> - 0.0555x + 232.3</t>
    </r>
  </si>
  <si>
    <r>
      <t>2E-05x</t>
    </r>
    <r>
      <rPr>
        <vertAlign val="superscript"/>
        <sz val="8"/>
        <color theme="1"/>
        <rFont val="Calibri"/>
        <family val="2"/>
      </rPr>
      <t>2</t>
    </r>
    <r>
      <rPr>
        <sz val="8"/>
        <color theme="1"/>
        <rFont val="Calibri"/>
        <family val="2"/>
      </rPr>
      <t xml:space="preserve"> - 0.0485x + 216.18</t>
    </r>
  </si>
  <si>
    <r>
      <t>2E-05x</t>
    </r>
    <r>
      <rPr>
        <vertAlign val="superscript"/>
        <sz val="8"/>
        <color theme="1"/>
        <rFont val="Calibri"/>
        <family val="2"/>
      </rPr>
      <t>2</t>
    </r>
    <r>
      <rPr>
        <sz val="8"/>
        <color theme="1"/>
        <rFont val="Calibri"/>
        <family val="2"/>
      </rPr>
      <t xml:space="preserve"> - 0.0462x + 206.27</t>
    </r>
  </si>
  <si>
    <r>
      <t>2E-05x</t>
    </r>
    <r>
      <rPr>
        <vertAlign val="superscript"/>
        <sz val="8"/>
        <color theme="1"/>
        <rFont val="Calibri"/>
        <family val="2"/>
      </rPr>
      <t>2</t>
    </r>
    <r>
      <rPr>
        <sz val="8"/>
        <color theme="1"/>
        <rFont val="Calibri"/>
        <family val="2"/>
      </rPr>
      <t xml:space="preserve"> - 0.0453x + 200.29</t>
    </r>
  </si>
  <si>
    <r>
      <t>2E-05x</t>
    </r>
    <r>
      <rPr>
        <vertAlign val="superscript"/>
        <sz val="8"/>
        <color theme="1"/>
        <rFont val="Calibri"/>
        <family val="2"/>
      </rPr>
      <t>2</t>
    </r>
    <r>
      <rPr>
        <sz val="8"/>
        <color theme="1"/>
        <rFont val="Calibri"/>
        <family val="2"/>
      </rPr>
      <t xml:space="preserve"> - 0.0456x + 196.43</t>
    </r>
  </si>
  <si>
    <r>
      <t>2E-05x</t>
    </r>
    <r>
      <rPr>
        <vertAlign val="superscript"/>
        <sz val="8"/>
        <color theme="1"/>
        <rFont val="Calibri"/>
        <family val="2"/>
      </rPr>
      <t>2</t>
    </r>
    <r>
      <rPr>
        <sz val="8"/>
        <color theme="1"/>
        <rFont val="Calibri"/>
        <family val="2"/>
      </rPr>
      <t xml:space="preserve"> - 0.0544x + 177.56</t>
    </r>
  </si>
  <si>
    <r>
      <t>1E-05x</t>
    </r>
    <r>
      <rPr>
        <vertAlign val="superscript"/>
        <sz val="8"/>
        <color theme="1"/>
        <rFont val="Calibri"/>
        <family val="2"/>
      </rPr>
      <t>2</t>
    </r>
    <r>
      <rPr>
        <sz val="8"/>
        <color theme="1"/>
        <rFont val="Calibri"/>
        <family val="2"/>
      </rPr>
      <t xml:space="preserve"> - 0.0448x + 166.28</t>
    </r>
  </si>
  <si>
    <r>
      <t>2E-05x</t>
    </r>
    <r>
      <rPr>
        <vertAlign val="superscript"/>
        <sz val="8"/>
        <color theme="1"/>
        <rFont val="Calibri"/>
        <family val="2"/>
      </rPr>
      <t>2</t>
    </r>
    <r>
      <rPr>
        <sz val="8"/>
        <color theme="1"/>
        <rFont val="Calibri"/>
        <family val="2"/>
      </rPr>
      <t xml:space="preserve"> - 0.048x + 163.78</t>
    </r>
  </si>
  <si>
    <r>
      <t>2E-05x</t>
    </r>
    <r>
      <rPr>
        <vertAlign val="superscript"/>
        <sz val="8"/>
        <color theme="1"/>
        <rFont val="Calibri"/>
        <family val="2"/>
      </rPr>
      <t>2</t>
    </r>
    <r>
      <rPr>
        <sz val="8"/>
        <color theme="1"/>
        <rFont val="Calibri"/>
        <family val="2"/>
      </rPr>
      <t xml:space="preserve"> - 0.0452x + 157.75</t>
    </r>
  </si>
  <si>
    <r>
      <t>1E-05x</t>
    </r>
    <r>
      <rPr>
        <vertAlign val="superscript"/>
        <sz val="8"/>
        <color theme="1"/>
        <rFont val="Calibri"/>
        <family val="2"/>
      </rPr>
      <t>2</t>
    </r>
    <r>
      <rPr>
        <sz val="8"/>
        <color theme="1"/>
        <rFont val="Calibri"/>
        <family val="2"/>
      </rPr>
      <t xml:space="preserve"> - 0.0365x + 139.89</t>
    </r>
  </si>
  <si>
    <r>
      <t>1E-05x</t>
    </r>
    <r>
      <rPr>
        <vertAlign val="superscript"/>
        <sz val="8"/>
        <color theme="1"/>
        <rFont val="Calibri"/>
        <family val="2"/>
      </rPr>
      <t>2</t>
    </r>
    <r>
      <rPr>
        <sz val="8"/>
        <color theme="1"/>
        <rFont val="Calibri"/>
        <family val="2"/>
      </rPr>
      <t xml:space="preserve"> - 0.0355x + 132.8</t>
    </r>
  </si>
  <si>
    <r>
      <t>1E-05x</t>
    </r>
    <r>
      <rPr>
        <vertAlign val="superscript"/>
        <sz val="8"/>
        <color theme="1"/>
        <rFont val="Calibri"/>
        <family val="2"/>
      </rPr>
      <t>2</t>
    </r>
    <r>
      <rPr>
        <sz val="8"/>
        <color theme="1"/>
        <rFont val="Calibri"/>
        <family val="2"/>
      </rPr>
      <t xml:space="preserve"> - 0.033x + 129.39</t>
    </r>
  </si>
  <si>
    <r>
      <t>1E-05x</t>
    </r>
    <r>
      <rPr>
        <vertAlign val="superscript"/>
        <sz val="8"/>
        <color theme="1"/>
        <rFont val="Calibri"/>
        <family val="2"/>
      </rPr>
      <t>2</t>
    </r>
    <r>
      <rPr>
        <sz val="8"/>
        <color theme="1"/>
        <rFont val="Calibri"/>
        <family val="2"/>
      </rPr>
      <t xml:space="preserve"> - 0.0316x + 125.28</t>
    </r>
  </si>
  <si>
    <t>Surface Powerstation Equipment Costs 80MW Units $/kW</t>
  </si>
  <si>
    <t>Surface Powerstation Equipment Costs 125MW Units $/kW</t>
  </si>
  <si>
    <t>Surface Powerstation Equipment Costs 225MW Units $/kW</t>
  </si>
  <si>
    <t>Surface Powerstation Equipment Costs 350MW Units $/kW</t>
  </si>
  <si>
    <r>
      <t>8E-06x</t>
    </r>
    <r>
      <rPr>
        <vertAlign val="superscript"/>
        <sz val="8"/>
        <color theme="1"/>
        <rFont val="Calibri"/>
        <family val="2"/>
      </rPr>
      <t>2</t>
    </r>
    <r>
      <rPr>
        <sz val="8"/>
        <color theme="1"/>
        <rFont val="Calibri"/>
        <family val="2"/>
      </rPr>
      <t xml:space="preserve"> - 0.0174x + 242.74</t>
    </r>
  </si>
  <si>
    <r>
      <t>8E-06x</t>
    </r>
    <r>
      <rPr>
        <vertAlign val="superscript"/>
        <sz val="8"/>
        <color theme="1"/>
        <rFont val="Calibri"/>
        <family val="2"/>
      </rPr>
      <t>2</t>
    </r>
    <r>
      <rPr>
        <sz val="8"/>
        <color theme="1"/>
        <rFont val="Calibri"/>
        <family val="2"/>
      </rPr>
      <t xml:space="preserve"> - 0.017x + 230.3</t>
    </r>
  </si>
  <si>
    <r>
      <t>8E-06x</t>
    </r>
    <r>
      <rPr>
        <vertAlign val="superscript"/>
        <sz val="8"/>
        <color theme="1"/>
        <rFont val="Calibri"/>
        <family val="2"/>
      </rPr>
      <t>2</t>
    </r>
    <r>
      <rPr>
        <sz val="8"/>
        <color theme="1"/>
        <rFont val="Calibri"/>
        <family val="2"/>
      </rPr>
      <t xml:space="preserve"> - 0.0168x + 223.7</t>
    </r>
  </si>
  <si>
    <r>
      <t>8E-06x</t>
    </r>
    <r>
      <rPr>
        <vertAlign val="superscript"/>
        <sz val="8"/>
        <color theme="1"/>
        <rFont val="Calibri"/>
        <family val="2"/>
      </rPr>
      <t>2</t>
    </r>
    <r>
      <rPr>
        <sz val="8"/>
        <color theme="1"/>
        <rFont val="Calibri"/>
        <family val="2"/>
      </rPr>
      <t xml:space="preserve"> - 0.0173x + 219.28</t>
    </r>
  </si>
  <si>
    <r>
      <t>2E-05x</t>
    </r>
    <r>
      <rPr>
        <vertAlign val="superscript"/>
        <sz val="8"/>
        <color theme="1"/>
        <rFont val="Calibri"/>
        <family val="2"/>
      </rPr>
      <t>2</t>
    </r>
    <r>
      <rPr>
        <sz val="8"/>
        <color theme="1"/>
        <rFont val="Calibri"/>
        <family val="2"/>
      </rPr>
      <t xml:space="preserve"> - 0.0499x + 212.36</t>
    </r>
  </si>
  <si>
    <r>
      <t>2E-05x</t>
    </r>
    <r>
      <rPr>
        <vertAlign val="superscript"/>
        <sz val="8"/>
        <color theme="1"/>
        <rFont val="Calibri"/>
        <family val="2"/>
      </rPr>
      <t>2</t>
    </r>
    <r>
      <rPr>
        <sz val="8"/>
        <color theme="1"/>
        <rFont val="Calibri"/>
        <family val="2"/>
      </rPr>
      <t xml:space="preserve"> - 0.0457x + 200.9</t>
    </r>
  </si>
  <si>
    <r>
      <t>2E-05x</t>
    </r>
    <r>
      <rPr>
        <vertAlign val="superscript"/>
        <sz val="8"/>
        <color theme="1"/>
        <rFont val="Calibri"/>
        <family val="2"/>
      </rPr>
      <t>2</t>
    </r>
    <r>
      <rPr>
        <sz val="8"/>
        <color theme="1"/>
        <rFont val="Calibri"/>
        <family val="2"/>
      </rPr>
      <t xml:space="preserve"> - 0.046x + 196.81</t>
    </r>
  </si>
  <si>
    <r>
      <t>2E-05x</t>
    </r>
    <r>
      <rPr>
        <vertAlign val="superscript"/>
        <sz val="8"/>
        <color theme="1"/>
        <rFont val="Calibri"/>
        <family val="2"/>
      </rPr>
      <t>2</t>
    </r>
    <r>
      <rPr>
        <sz val="8"/>
        <color theme="1"/>
        <rFont val="Calibri"/>
        <family val="2"/>
      </rPr>
      <t xml:space="preserve"> - 0.0501x + 195</t>
    </r>
  </si>
  <si>
    <r>
      <t>1E-05x</t>
    </r>
    <r>
      <rPr>
        <vertAlign val="superscript"/>
        <sz val="8"/>
        <color theme="1"/>
        <rFont val="Calibri"/>
        <family val="2"/>
      </rPr>
      <t>2</t>
    </r>
    <r>
      <rPr>
        <sz val="8"/>
        <color theme="1"/>
        <rFont val="Calibri"/>
        <family val="2"/>
      </rPr>
      <t xml:space="preserve"> - 0.0319x + 165.52</t>
    </r>
  </si>
  <si>
    <r>
      <t>1E-05x</t>
    </r>
    <r>
      <rPr>
        <vertAlign val="superscript"/>
        <sz val="8"/>
        <color theme="1"/>
        <rFont val="Calibri"/>
        <family val="2"/>
      </rPr>
      <t>2</t>
    </r>
    <r>
      <rPr>
        <sz val="8"/>
        <color theme="1"/>
        <rFont val="Calibri"/>
        <family val="2"/>
      </rPr>
      <t xml:space="preserve"> - 0.0338x + 159.73</t>
    </r>
  </si>
  <si>
    <r>
      <t>1E-05x</t>
    </r>
    <r>
      <rPr>
        <vertAlign val="superscript"/>
        <sz val="8"/>
        <color theme="1"/>
        <rFont val="Calibri"/>
        <family val="2"/>
      </rPr>
      <t>2</t>
    </r>
    <r>
      <rPr>
        <sz val="8"/>
        <color theme="1"/>
        <rFont val="Calibri"/>
        <family val="2"/>
      </rPr>
      <t xml:space="preserve"> - 0.0313x + 155.12</t>
    </r>
  </si>
  <si>
    <r>
      <t>1E-05x</t>
    </r>
    <r>
      <rPr>
        <vertAlign val="superscript"/>
        <sz val="8"/>
        <color theme="1"/>
        <rFont val="Calibri"/>
        <family val="2"/>
      </rPr>
      <t>2</t>
    </r>
    <r>
      <rPr>
        <sz val="8"/>
        <color theme="1"/>
        <rFont val="Calibri"/>
        <family val="2"/>
      </rPr>
      <t xml:space="preserve"> - 0.0309x + 151.13</t>
    </r>
  </si>
  <si>
    <r>
      <t>1E-05x</t>
    </r>
    <r>
      <rPr>
        <vertAlign val="superscript"/>
        <sz val="8"/>
        <color theme="1"/>
        <rFont val="Calibri"/>
        <family val="2"/>
      </rPr>
      <t>2</t>
    </r>
    <r>
      <rPr>
        <sz val="8"/>
        <color theme="1"/>
        <rFont val="Calibri"/>
        <family val="2"/>
      </rPr>
      <t xml:space="preserve"> - 0.0447x + 144.85</t>
    </r>
  </si>
  <si>
    <r>
      <t>1E-05x</t>
    </r>
    <r>
      <rPr>
        <vertAlign val="superscript"/>
        <sz val="8"/>
        <color theme="1"/>
        <rFont val="Calibri"/>
        <family val="2"/>
      </rPr>
      <t>2</t>
    </r>
    <r>
      <rPr>
        <sz val="8"/>
        <color theme="1"/>
        <rFont val="Calibri"/>
        <family val="2"/>
      </rPr>
      <t xml:space="preserve"> - 0.041x + 136.46</t>
    </r>
  </si>
  <si>
    <r>
      <t>1E-05x</t>
    </r>
    <r>
      <rPr>
        <vertAlign val="superscript"/>
        <sz val="8"/>
        <color theme="1"/>
        <rFont val="Calibri"/>
        <family val="2"/>
      </rPr>
      <t>2</t>
    </r>
    <r>
      <rPr>
        <sz val="8"/>
        <color theme="1"/>
        <rFont val="Calibri"/>
        <family val="2"/>
      </rPr>
      <t xml:space="preserve"> - 0.0391x + 133.75</t>
    </r>
  </si>
  <si>
    <r>
      <t>1E-05x</t>
    </r>
    <r>
      <rPr>
        <vertAlign val="superscript"/>
        <sz val="8"/>
        <color theme="1"/>
        <rFont val="Calibri"/>
        <family val="2"/>
      </rPr>
      <t>2</t>
    </r>
    <r>
      <rPr>
        <sz val="8"/>
        <color theme="1"/>
        <rFont val="Calibri"/>
        <family val="2"/>
      </rPr>
      <t xml:space="preserve"> - 0.0406x + 131.67</t>
    </r>
  </si>
  <si>
    <t>Access Tunnel Costs, $/LF</t>
  </si>
  <si>
    <t>Switchyard Costs, $M</t>
  </si>
  <si>
    <t>Access Road, $/mile</t>
  </si>
  <si>
    <t>Tunnel Length, Miles</t>
  </si>
  <si>
    <t>No. of generating units</t>
  </si>
  <si>
    <t>115 to 161 kV</t>
  </si>
  <si>
    <t>230 kV</t>
  </si>
  <si>
    <t>345 kV</t>
  </si>
  <si>
    <t>500 kV</t>
  </si>
  <si>
    <t>Terrain</t>
  </si>
  <si>
    <t>Rebuild</t>
  </si>
  <si>
    <r>
      <t>2489.4x</t>
    </r>
    <r>
      <rPr>
        <vertAlign val="superscript"/>
        <sz val="8"/>
        <color theme="1"/>
        <rFont val="Calibri"/>
        <family val="2"/>
      </rPr>
      <t>0.118</t>
    </r>
  </si>
  <si>
    <t>Steep</t>
  </si>
  <si>
    <t>Mild</t>
  </si>
  <si>
    <r>
      <t>-0.0643x</t>
    </r>
    <r>
      <rPr>
        <vertAlign val="superscript"/>
        <sz val="8"/>
        <color theme="1"/>
        <rFont val="Calibri"/>
        <family val="2"/>
      </rPr>
      <t>2</t>
    </r>
    <r>
      <rPr>
        <sz val="8"/>
        <color theme="1"/>
        <rFont val="Calibri"/>
        <family val="2"/>
      </rPr>
      <t xml:space="preserve"> + 1.0743x - 0.48</t>
    </r>
  </si>
  <si>
    <r>
      <t>-0.1x</t>
    </r>
    <r>
      <rPr>
        <vertAlign val="superscript"/>
        <sz val="8"/>
        <color theme="1"/>
        <rFont val="Calibri"/>
        <family val="2"/>
      </rPr>
      <t>2</t>
    </r>
    <r>
      <rPr>
        <sz val="8"/>
        <color theme="1"/>
        <rFont val="Calibri"/>
        <family val="2"/>
      </rPr>
      <t xml:space="preserve"> + 1.6x - 1.1</t>
    </r>
  </si>
  <si>
    <r>
      <t>-0.1607x</t>
    </r>
    <r>
      <rPr>
        <vertAlign val="superscript"/>
        <sz val="8"/>
        <color theme="1"/>
        <rFont val="Calibri"/>
        <family val="2"/>
      </rPr>
      <t>2</t>
    </r>
    <r>
      <rPr>
        <sz val="8"/>
        <color theme="1"/>
        <rFont val="Calibri"/>
        <family val="2"/>
      </rPr>
      <t xml:space="preserve"> + 3.1007x - 1.91</t>
    </r>
  </si>
  <si>
    <r>
      <t>-0.6286x</t>
    </r>
    <r>
      <rPr>
        <vertAlign val="superscript"/>
        <sz val="8"/>
        <color theme="1"/>
        <rFont val="Calibri"/>
        <family val="2"/>
      </rPr>
      <t>2</t>
    </r>
    <r>
      <rPr>
        <sz val="8"/>
        <color theme="1"/>
        <rFont val="Calibri"/>
        <family val="2"/>
      </rPr>
      <t xml:space="preserve"> + 8.3086x - 6.45</t>
    </r>
  </si>
  <si>
    <t>Transmission Line Costs Per Mile, $1000s</t>
  </si>
  <si>
    <t>Transmitted Power, MW</t>
  </si>
  <si>
    <t>138 kV</t>
  </si>
  <si>
    <t>Transmission Terrain Multiplier</t>
  </si>
  <si>
    <t>Desert</t>
  </si>
  <si>
    <t>Farmland</t>
  </si>
  <si>
    <t>Forested</t>
  </si>
  <si>
    <t>Rolling Hill</t>
  </si>
  <si>
    <t>Wetland</t>
  </si>
  <si>
    <t>Suburban</t>
  </si>
  <si>
    <t>Urban</t>
  </si>
  <si>
    <t>Tranmission Circuit Multiplier</t>
  </si>
  <si>
    <t>Transmission kV</t>
  </si>
  <si>
    <t>Single Circuit $/mile</t>
  </si>
  <si>
    <t>Double Circuit $/mile</t>
  </si>
  <si>
    <r>
      <t>0.0043x</t>
    </r>
    <r>
      <rPr>
        <vertAlign val="superscript"/>
        <sz val="8"/>
        <color theme="1"/>
        <rFont val="Calibri"/>
        <family val="2"/>
      </rPr>
      <t>2</t>
    </r>
    <r>
      <rPr>
        <sz val="8"/>
        <color theme="1"/>
        <rFont val="Calibri"/>
        <family val="2"/>
      </rPr>
      <t xml:space="preserve"> - 0.028x + 108.72</t>
    </r>
  </si>
  <si>
    <r>
      <t>0.0007x</t>
    </r>
    <r>
      <rPr>
        <vertAlign val="superscript"/>
        <sz val="8"/>
        <color theme="1"/>
        <rFont val="Calibri"/>
        <family val="2"/>
      </rPr>
      <t>2</t>
    </r>
    <r>
      <rPr>
        <sz val="8"/>
        <color theme="1"/>
        <rFont val="Calibri"/>
        <family val="2"/>
      </rPr>
      <t xml:space="preserve"> - 0.0382x + 169.98</t>
    </r>
  </si>
  <si>
    <r>
      <t>0.0003x</t>
    </r>
    <r>
      <rPr>
        <vertAlign val="superscript"/>
        <sz val="8"/>
        <color theme="1"/>
        <rFont val="Calibri"/>
        <family val="2"/>
      </rPr>
      <t>2</t>
    </r>
    <r>
      <rPr>
        <sz val="8"/>
        <color theme="1"/>
        <rFont val="Calibri"/>
        <family val="2"/>
      </rPr>
      <t xml:space="preserve"> - 0.2536x + 335.57</t>
    </r>
  </si>
  <si>
    <r>
      <t>4E-05x</t>
    </r>
    <r>
      <rPr>
        <vertAlign val="superscript"/>
        <sz val="8"/>
        <color theme="1"/>
        <rFont val="Calibri"/>
        <family val="2"/>
      </rPr>
      <t>2</t>
    </r>
    <r>
      <rPr>
        <sz val="8"/>
        <color theme="1"/>
        <rFont val="Calibri"/>
        <family val="2"/>
      </rPr>
      <t xml:space="preserve"> - 0.0652x + 428.5</t>
    </r>
  </si>
  <si>
    <t>UR Connection</t>
  </si>
  <si>
    <t>Water Conductor</t>
  </si>
  <si>
    <t>LR Connection</t>
  </si>
  <si>
    <t>Direct Discharge</t>
  </si>
  <si>
    <t>Configuration</t>
  </si>
  <si>
    <t>Small System Powerstation Costs</t>
  </si>
  <si>
    <t>2008-2011 $</t>
  </si>
  <si>
    <t>1 cfs = 448.83 gal/min or 7.48 gal/sec</t>
  </si>
  <si>
    <t>gal/min</t>
  </si>
  <si>
    <t>stand by power k$</t>
  </si>
  <si>
    <t>$</t>
  </si>
  <si>
    <t>2011-2015 $</t>
  </si>
  <si>
    <t>Low Head</t>
  </si>
  <si>
    <t>200 ft or less</t>
  </si>
  <si>
    <t>Turbine generator and Control Cost in $/kW by capacity in MW</t>
  </si>
  <si>
    <t>y = 1051.9*x^-0.204</t>
  </si>
  <si>
    <t>High Head</t>
  </si>
  <si>
    <t>200 ft or more</t>
  </si>
  <si>
    <t>y = 697.41*x^-0.329</t>
  </si>
  <si>
    <t>Surface</t>
  </si>
  <si>
    <t>Avg. Upper Dam Volume =</t>
  </si>
  <si>
    <t>Avg. Lower Dam Volume =</t>
  </si>
  <si>
    <t>Energy Storage =</t>
  </si>
  <si>
    <t>Max DraftTube Velocity =</t>
  </si>
  <si>
    <t>Category</t>
  </si>
  <si>
    <t>Suggested</t>
  </si>
  <si>
    <t>EPRI Fig</t>
  </si>
  <si>
    <t>Year</t>
  </si>
  <si>
    <t>Avg. CPI</t>
  </si>
  <si>
    <t>Inflation Adjustment to 1988$</t>
  </si>
  <si>
    <t>Power station</t>
  </si>
  <si>
    <t>6-8/6-9</t>
  </si>
  <si>
    <t>Dams, spillways, diversions, emb</t>
  </si>
  <si>
    <t>6-10</t>
  </si>
  <si>
    <t>Upper intake/outlet (vertical)</t>
  </si>
  <si>
    <t>6-12</t>
  </si>
  <si>
    <t>Lower intake/outlet (horizontal)</t>
  </si>
  <si>
    <t>Surface penstocks</t>
  </si>
  <si>
    <t>6-16</t>
  </si>
  <si>
    <t>Vertical shaft</t>
  </si>
  <si>
    <t>6-14</t>
  </si>
  <si>
    <t>Concrete lined tunnels (e.g. tailrace &amp; power tun)</t>
  </si>
  <si>
    <t>6-13</t>
  </si>
  <si>
    <t>Steel-Lined tunnels (underground penstocks)</t>
  </si>
  <si>
    <t>6-15</t>
  </si>
  <si>
    <t>Draft tubes</t>
  </si>
  <si>
    <t>Access and voltage tunnels</t>
  </si>
  <si>
    <t>6-19</t>
  </si>
  <si>
    <t>Roads</t>
  </si>
  <si>
    <t>Allowance</t>
  </si>
  <si>
    <t>N/A</t>
  </si>
  <si>
    <t>Electro-Mechanical*</t>
  </si>
  <si>
    <t>6-17/6-18</t>
  </si>
  <si>
    <t>Transmission works</t>
  </si>
  <si>
    <t>6-21</t>
  </si>
  <si>
    <t>6-20</t>
  </si>
  <si>
    <t>EPC Contractor's Indirects</t>
  </si>
  <si>
    <t>Owner's Indirects</t>
  </si>
  <si>
    <t>O&amp;M</t>
  </si>
  <si>
    <t>1988-2022 adjustment</t>
  </si>
  <si>
    <t>2011-2022 adjustment</t>
  </si>
  <si>
    <t>2015-2022 adjustment</t>
  </si>
  <si>
    <t>2021-2022 Adjustment</t>
  </si>
  <si>
    <t>Location Factor</t>
  </si>
  <si>
    <t xml:space="preserve">State  </t>
  </si>
  <si>
    <t>Material Cost</t>
  </si>
  <si>
    <t>Equipment Rental</t>
  </si>
  <si>
    <t>Alabama</t>
  </si>
  <si>
    <t>Alaska</t>
  </si>
  <si>
    <t>Arizona</t>
  </si>
  <si>
    <t>Arkansas</t>
  </si>
  <si>
    <t>California</t>
  </si>
  <si>
    <t>Colorado</t>
  </si>
  <si>
    <t>Connecticut</t>
  </si>
  <si>
    <t>Delaware</t>
  </si>
  <si>
    <t>DC</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</si>
  <si>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</si>
  <si>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</si>
  <si>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</si>
  <si>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</si>
  <si>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</si>
  <si>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</si>
  <si>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</si>
  <si>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</si>
  <si>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</si>
  <si>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</si>
  <si>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</si>
  <si>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</si>
  <si>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</si>
  <si>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</si>
  <si>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</si>
  <si>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</si>
  <si>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</si>
  <si>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</si>
  <si>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</si>
  <si>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</si>
  <si>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</si>
  <si>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</si>
  <si>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</si>
  <si>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</si>
  <si>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</si>
  <si>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</si>
  <si>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</si>
  <si>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</si>
  <si>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</si>
  <si>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</si>
  <si>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</si>
  <si>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</si>
  <si>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</si>
  <si>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</si>
  <si>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</si>
  <si>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</si>
  <si>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</si>
  <si>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</si>
  <si>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</si>
  <si>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</si>
  <si>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</si>
  <si>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</si>
  <si>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Puerto Rico</t>
  </si>
  <si>
    <t>State</t>
  </si>
  <si>
    <t>Farm Real Estate $/Acre 2021</t>
  </si>
  <si>
    <t>Cropland $/Acre 2021</t>
  </si>
  <si>
    <t>Irrigated Cropland $/Acre 2021</t>
  </si>
  <si>
    <t>Non-Irrigated Cropland $/Acre 2021</t>
  </si>
  <si>
    <t>Pasture $/Acre 2021</t>
  </si>
  <si>
    <t>Average $/Acre 2021</t>
  </si>
  <si>
    <t>Duration (Hrs)</t>
  </si>
  <si>
    <t>Nominal Head (Ft)</t>
  </si>
  <si>
    <t>Conveyance Length (Ft)</t>
  </si>
  <si>
    <t>Average U. Dam Height (ft)</t>
  </si>
  <si>
    <t>Average L. Dam Height (ft)</t>
  </si>
  <si>
    <t>Power Station Type</t>
  </si>
  <si>
    <t>Transmission Miles</t>
  </si>
  <si>
    <t>Average U. Crest Length (Ft)</t>
  </si>
  <si>
    <t>Average L. Crest Length (Ft)</t>
  </si>
  <si>
    <t>Power Station Structure Geology Type</t>
  </si>
  <si>
    <t>Access Tunnel Length (Miles)</t>
  </si>
  <si>
    <t>U. Reservoir Intake/Outlet Type</t>
  </si>
  <si>
    <t>Tranmission Type</t>
  </si>
  <si>
    <t>Penstock Type</t>
  </si>
  <si>
    <t>L. Reservoir Intake/Outlet Type</t>
  </si>
  <si>
    <t>$/kWh</t>
  </si>
  <si>
    <t>*Any changes to current input cell reference need to be manually updated in the macro.</t>
  </si>
  <si>
    <t>Yellow highlighted cell inputs affect the sensitivity graphs</t>
  </si>
  <si>
    <t>Single</t>
  </si>
  <si>
    <t>Tunneling Condirion</t>
  </si>
  <si>
    <t>Poor</t>
  </si>
  <si>
    <t>L-PSH</t>
  </si>
  <si>
    <t>Low $/kWh</t>
  </si>
  <si>
    <t> High $/kWh</t>
  </si>
  <si>
    <t>Basecase $/kWh</t>
  </si>
  <si>
    <t>Change $/kWh</t>
  </si>
  <si>
    <t>2500 ft</t>
  </si>
  <si>
    <t>800 ft</t>
  </si>
  <si>
    <t>24 hours</t>
  </si>
  <si>
    <t>10 hours</t>
  </si>
  <si>
    <t>5000 ft</t>
  </si>
  <si>
    <t>25000 ft</t>
  </si>
  <si>
    <t>Average Dam Height (ft)</t>
  </si>
  <si>
    <t>60 ft</t>
  </si>
  <si>
    <t>240 ft</t>
  </si>
  <si>
    <t>5 miles</t>
  </si>
  <si>
    <t>25 miles</t>
  </si>
  <si>
    <t>0.75 miles</t>
  </si>
  <si>
    <t>1.75 miles</t>
  </si>
  <si>
    <t>Average Crest Length (Ft)</t>
  </si>
  <si>
    <t>1800 ft</t>
  </si>
  <si>
    <t>S-PSH</t>
  </si>
  <si>
    <t>1500 ft</t>
  </si>
  <si>
    <t>500 ft</t>
  </si>
  <si>
    <t>14 hours</t>
  </si>
  <si>
    <t>6 hours</t>
  </si>
  <si>
    <t>15000 ft</t>
  </si>
  <si>
    <t>20 miles</t>
  </si>
  <si>
    <t>40 miles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</si>
</sst>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quot;* #,##0.00_);_(&quot;$&quot;* \(#,##0.00\);_(&quot;$&quot;* &quot;-&quot;??_);_(@_)"/>
    <numFmt numFmtId="43" formatCode="_(* #,##0.00_);_(* \(#,##0.00\);_(* &quot;-&quot;??_);_(@_)"/>
    <numFmt numFmtId="164" formatCode="0.0"/>
    <numFmt numFmtId="165" formatCode="_(&quot;$&quot;* #,##0_);_(&quot;$&quot;* \(#,##0\);_(&quot;$&quot;* &quot;-&quot;??_);_(@_)"/>
    <numFmt numFmtId="166" formatCode="_(* #,##0_);_(* \(#,##0\);_(* &quot;-&quot;??_);_(@_)"/>
    <numFmt numFmtId="167" formatCode="0.0000"/>
    <numFmt numFmtId="168" formatCode="0.0%"/>
    <numFmt numFmtId="169" formatCode="_(&quot;$&quot;* #,##0.0_);_(&quot;$&quot;* \(#,##0.0\);_(&quot;$&quot;* &quot;-&quot;??_);_(@_)"/>
    <numFmt numFmtId="170" formatCode="0.00000"/>
    <numFmt numFmtId="171" formatCode="0.000"/>
    <numFmt numFmtId="172" formatCode="0.000000"/>
  </numFmts>
  <fonts count="41">
    <font>
      <sz val="8"/>
      <color theme="1"/>
      <name val="Calibri"/>
      <family val="2"/>
    </font>
    <font>
      <sz val="12"/>
      <color theme="1"/>
      <name val="Calibri"/>
      <family val="2"/>
      <scheme val="minor"/>
    </font>
    <font>
      <sz val="12"/>
      <color theme="1"/>
      <name val="Calibri"/>
      <family val="2"/>
      <scheme val="minor"/>
    </font>
    <font>
      <sz val="12"/>
      <color theme="1"/>
      <name val="Calibri"/>
      <family val="2"/>
      <scheme val="minor"/>
    </font>
    <font>
      <sz val="8"/>
      <color theme="1"/>
      <name val="Calibri"/>
      <family val="2"/>
    </font>
    <font>
      <sz val="10"/>
      <color theme="1"/>
      <name val="Calibri"/>
      <family val="2"/>
    </font>
    <font>
      <b/>
      <sz val="10"/>
      <color theme="1"/>
      <name val="Calibri"/>
      <family val="2"/>
    </font>
    <font>
      <b/>
      <sz val="10"/>
      <color theme="1"/>
      <name val="Calibri (Body)"/>
    </font>
    <font>
      <b/>
      <i/>
      <sz val="10"/>
      <color theme="1"/>
      <name val="Calibri (Body)"/>
    </font>
    <font>
      <b/>
      <sz val="10"/>
      <color theme="1"/>
      <name val="Calibri"/>
      <family val="2"/>
      <scheme val="minor"/>
    </font>
    <font>
      <b/>
      <sz val="12"/>
      <color rgb="FFFF0000"/>
      <name val="Calibri"/>
      <family val="2"/>
      <scheme val="minor"/>
    </font>
    <font>
      <sz val="8"/>
      <color theme="1"/>
      <name val="Calibri"/>
      <family val="2"/>
      <scheme val="minor"/>
    </font>
    <font>
      <sz val="9"/>
      <color rgb="FF595959"/>
      <name val="Calibri"/>
      <family val="2"/>
    </font>
    <font>
      <vertAlign val="superscript"/>
      <sz val="9"/>
      <color rgb="FF595959"/>
      <name val="Calibri"/>
      <family val="2"/>
    </font>
    <font>
      <sz val="8"/>
      <color rgb="FF595959"/>
      <name val="Calibri"/>
      <family val="2"/>
      <scheme val="minor"/>
    </font>
    <font>
      <vertAlign val="superscript"/>
      <sz val="8"/>
      <color rgb="FF595959"/>
      <name val="Calibri"/>
      <family val="2"/>
      <scheme val="minor"/>
    </font>
    <font>
      <vertAlign val="superscript"/>
      <sz val="8"/>
      <color theme="1"/>
      <name val="Calibri"/>
      <family val="2"/>
    </font>
    <font>
      <sz val="12"/>
      <color rgb="FF000000"/>
      <name val="Calibri"/>
      <family val="2"/>
    </font>
    <font>
      <b/>
      <sz val="12"/>
      <color rgb="FF000000"/>
      <name val="Calibri"/>
      <family val="2"/>
    </font>
    <font>
      <sz val="8"/>
      <color rgb="FFFF0000"/>
      <name val="Calibri"/>
      <family val="2"/>
    </font>
    <font>
      <sz val="8"/>
      <color theme="9"/>
      <name val="Calibri"/>
      <family val="2"/>
    </font>
    <font>
      <sz val="9"/>
      <color theme="1"/>
      <name val="Calibri"/>
      <family val="2"/>
    </font>
    <font>
      <b/>
      <u/>
      <sz val="10"/>
      <color theme="1"/>
      <name val="Calibri"/>
      <family val="2"/>
    </font>
    <font>
      <b/>
      <sz val="8"/>
      <color theme="1"/>
      <name val="Calibri"/>
      <family val="2"/>
    </font>
    <font>
      <sz val="8"/>
      <name val="Calibri"/>
      <family val="2"/>
    </font>
    <font>
      <sz val="11"/>
      <color rgb="FF9C0006"/>
      <name val="Calibri"/>
      <family val="2"/>
      <scheme val="minor"/>
    </font>
    <font>
      <b/>
      <sz val="12"/>
      <color theme="1"/>
      <name val="Calibri"/>
      <family val="2"/>
    </font>
    <font>
      <sz val="10"/>
      <color theme="1"/>
      <name val="Calibri (Body)"/>
    </font>
    <font>
      <sz val="8"/>
      <color theme="1"/>
      <name val="Calibri (Body)"/>
    </font>
    <font>
      <i/>
      <sz val="8"/>
      <color theme="1"/>
      <name val="Calibri"/>
      <family val="2"/>
    </font>
    <font>
      <sz val="12"/>
      <color rgb="FFFF0000"/>
      <name val="Calibri"/>
      <family val="2"/>
      <scheme val="minor"/>
    </font>
    <font>
      <sz val="10"/>
      <color theme="1"/>
      <name val="Calibri"/>
      <family val="2"/>
      <scheme val="minor"/>
    </font>
    <font>
      <sz val="12"/>
      <name val="Calibri"/>
      <family val="2"/>
      <scheme val="minor"/>
    </font>
    <font>
      <sz val="10"/>
      <name val="Calibri"/>
      <family val="2"/>
    </font>
    <font>
      <sz val="10"/>
      <name val="Calibri (Body)"/>
    </font>
    <font>
      <b/>
      <sz val="12"/>
      <name val="Calibri"/>
      <family val="2"/>
    </font>
    <font>
      <b/>
      <u/>
      <sz val="10"/>
      <name val="Calibri"/>
      <family val="2"/>
    </font>
    <font>
      <b/>
      <sz val="10"/>
      <name val="Calibri"/>
      <family val="2"/>
    </font>
    <font>
      <sz val="14"/>
      <color theme="1"/>
      <name val="Calibri"/>
      <family val="2"/>
    </font>
    <font>
      <b/>
      <sz val="14"/>
      <color theme="1"/>
      <name val="Calibri"/>
      <family val="2"/>
    </font>
    <font>
      <b/>
      <sz val="14"/>
      <color theme="1"/>
      <name val="Segoe UI"/>
      <family val="2"/>
    </font>
  </fonts>
  <fills count="8">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rgb="FFFFC7CE"/>
      </patternFill>
    </fill>
    <fill>
      <patternFill patternType="solid">
        <fgColor theme="0" tint="-0.14999847407452621"/>
        <bgColor indexed="64"/>
      </patternFill>
    </fill>
    <fill>
      <patternFill patternType="solid">
        <fgColor rgb="FFBDD7EE"/>
        <bgColor indexed="64"/>
      </patternFill>
    </fill>
    <fill>
      <patternFill patternType="solid">
        <fgColor rgb="FFFFFF00"/>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6">
    <xf numFmtId="0" fontId="0" fillId="0" borderId="0"/>
    <xf numFmtId="9"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0" fontId="3" fillId="0" borderId="0"/>
    <xf numFmtId="0" fontId="25" fillId="4" borderId="0" applyNumberFormat="0" applyBorder="0" applyAlignment="0" applyProtection="0"/>
  </cellStyleXfs>
  <cellXfs count="169">
    <xf numFmtId="0" fontId="0" fillId="0" borderId="0" xfId="0"/>
    <xf numFmtId="0" fontId="5" fillId="0" borderId="0" xfId="0" applyFont="1"/>
    <xf numFmtId="0" fontId="0" fillId="0" borderId="0" xfId="0" applyAlignment="1">
      <alignment horizontal="left" indent="1"/>
    </xf>
    <xf numFmtId="0" fontId="7" fillId="0" borderId="0" xfId="0" applyFont="1"/>
    <xf numFmtId="0" fontId="3" fillId="0" borderId="0" xfId="4"/>
    <xf numFmtId="0" fontId="10" fillId="0" borderId="0" xfId="4" applyFont="1"/>
    <xf numFmtId="0" fontId="11" fillId="0" borderId="0" xfId="4" applyFont="1"/>
    <xf numFmtId="0" fontId="12" fillId="0" borderId="0" xfId="0" applyFont="1" applyAlignment="1">
      <alignment horizontal="center" vertical="center" readingOrder="1"/>
    </xf>
    <xf numFmtId="0" fontId="14" fillId="0" borderId="0" xfId="0" applyFont="1" applyAlignment="1">
      <alignment horizontal="center" vertical="center" readingOrder="1"/>
    </xf>
    <xf numFmtId="0" fontId="2" fillId="0" borderId="0" xfId="4" applyFont="1"/>
    <xf numFmtId="0" fontId="17" fillId="0" borderId="0" xfId="0" applyFont="1"/>
    <xf numFmtId="0" fontId="18" fillId="0" borderId="0" xfId="0" applyFont="1"/>
    <xf numFmtId="1" fontId="17" fillId="0" borderId="0" xfId="0" applyNumberFormat="1" applyFont="1"/>
    <xf numFmtId="2" fontId="3" fillId="0" borderId="0" xfId="4" applyNumberFormat="1"/>
    <xf numFmtId="164" fontId="3" fillId="0" borderId="0" xfId="4" applyNumberFormat="1"/>
    <xf numFmtId="1" fontId="3" fillId="0" borderId="0" xfId="4" applyNumberFormat="1"/>
    <xf numFmtId="167" fontId="3" fillId="0" borderId="0" xfId="4" applyNumberFormat="1"/>
    <xf numFmtId="43" fontId="3" fillId="0" borderId="0" xfId="4" applyNumberFormat="1"/>
    <xf numFmtId="166" fontId="3" fillId="0" borderId="0" xfId="4" applyNumberFormat="1"/>
    <xf numFmtId="0" fontId="19" fillId="0" borderId="0" xfId="0" applyFont="1"/>
    <xf numFmtId="0" fontId="20" fillId="0" borderId="0" xfId="0" applyFont="1"/>
    <xf numFmtId="0" fontId="21" fillId="0" borderId="0" xfId="0" applyFont="1" applyAlignment="1">
      <alignment horizontal="left"/>
    </xf>
    <xf numFmtId="0" fontId="21" fillId="0" borderId="0" xfId="0" applyFont="1"/>
    <xf numFmtId="0" fontId="6" fillId="0" borderId="0" xfId="0" applyFont="1" applyAlignment="1">
      <alignment vertical="center" wrapText="1"/>
    </xf>
    <xf numFmtId="0" fontId="5" fillId="2" borderId="0" xfId="0" applyFont="1" applyFill="1" applyAlignment="1">
      <alignment horizontal="left"/>
    </xf>
    <xf numFmtId="0" fontId="5" fillId="2" borderId="0" xfId="0" applyFont="1" applyFill="1"/>
    <xf numFmtId="0" fontId="5" fillId="3" borderId="0" xfId="0" applyFont="1" applyFill="1" applyAlignment="1">
      <alignment horizontal="left"/>
    </xf>
    <xf numFmtId="0" fontId="5" fillId="3" borderId="0" xfId="0" applyFont="1" applyFill="1"/>
    <xf numFmtId="0" fontId="5" fillId="3" borderId="0" xfId="0" quotePrefix="1" applyFont="1" applyFill="1" applyAlignment="1">
      <alignment horizontal="left"/>
    </xf>
    <xf numFmtId="1" fontId="5" fillId="3" borderId="0" xfId="0" applyNumberFormat="1" applyFont="1" applyFill="1" applyAlignment="1">
      <alignment horizontal="left"/>
    </xf>
    <xf numFmtId="0" fontId="5" fillId="2" borderId="0" xfId="0" quotePrefix="1" applyFont="1" applyFill="1" applyAlignment="1">
      <alignment horizontal="left"/>
    </xf>
    <xf numFmtId="164" fontId="5" fillId="3" borderId="0" xfId="0" applyNumberFormat="1" applyFont="1" applyFill="1" applyAlignment="1">
      <alignment horizontal="left"/>
    </xf>
    <xf numFmtId="0" fontId="22" fillId="2" borderId="0" xfId="0" applyFont="1" applyFill="1" applyAlignment="1">
      <alignment horizontal="left"/>
    </xf>
    <xf numFmtId="0" fontId="0" fillId="2" borderId="0" xfId="0" applyFill="1"/>
    <xf numFmtId="9" fontId="5" fillId="2" borderId="0" xfId="0" applyNumberFormat="1" applyFont="1" applyFill="1" applyAlignment="1">
      <alignment horizontal="left"/>
    </xf>
    <xf numFmtId="0" fontId="22" fillId="3" borderId="0" xfId="0" applyFont="1" applyFill="1" applyAlignment="1">
      <alignment horizontal="left"/>
    </xf>
    <xf numFmtId="0" fontId="6" fillId="3" borderId="0" xfId="0" applyFont="1" applyFill="1" applyAlignment="1">
      <alignment horizontal="center" vertical="center" wrapText="1"/>
    </xf>
    <xf numFmtId="0" fontId="23" fillId="0" borderId="0" xfId="0" applyFont="1" applyAlignment="1">
      <alignment wrapText="1"/>
    </xf>
    <xf numFmtId="2" fontId="5" fillId="2" borderId="0" xfId="0" applyNumberFormat="1" applyFont="1" applyFill="1" applyAlignment="1">
      <alignment horizontal="left"/>
    </xf>
    <xf numFmtId="9" fontId="5" fillId="2" borderId="0" xfId="1" applyFont="1" applyFill="1" applyBorder="1" applyAlignment="1">
      <alignment horizontal="left"/>
    </xf>
    <xf numFmtId="171" fontId="5" fillId="3" borderId="0" xfId="0" applyNumberFormat="1" applyFont="1" applyFill="1" applyAlignment="1">
      <alignment horizontal="left"/>
    </xf>
    <xf numFmtId="170" fontId="5" fillId="2" borderId="0" xfId="0" applyNumberFormat="1" applyFont="1" applyFill="1" applyAlignment="1">
      <alignment horizontal="left"/>
    </xf>
    <xf numFmtId="2" fontId="5" fillId="3" borderId="0" xfId="0" applyNumberFormat="1" applyFont="1" applyFill="1" applyAlignment="1">
      <alignment horizontal="left"/>
    </xf>
    <xf numFmtId="0" fontId="3" fillId="0" borderId="0" xfId="4" applyAlignment="1">
      <alignment horizontal="right"/>
    </xf>
    <xf numFmtId="9" fontId="3" fillId="0" borderId="0" xfId="4" applyNumberFormat="1" applyAlignment="1">
      <alignment horizontal="right"/>
    </xf>
    <xf numFmtId="164" fontId="5" fillId="2" borderId="0" xfId="0" applyNumberFormat="1" applyFont="1" applyFill="1" applyAlignment="1">
      <alignment horizontal="left"/>
    </xf>
    <xf numFmtId="1" fontId="5" fillId="2" borderId="0" xfId="0" applyNumberFormat="1" applyFont="1" applyFill="1" applyAlignment="1">
      <alignment horizontal="left"/>
    </xf>
    <xf numFmtId="0" fontId="26" fillId="0" borderId="1" xfId="0" applyFont="1" applyBorder="1"/>
    <xf numFmtId="0" fontId="7" fillId="0" borderId="2" xfId="0" applyFont="1" applyBorder="1" applyAlignment="1">
      <alignment wrapText="1"/>
    </xf>
    <xf numFmtId="0" fontId="8" fillId="0" borderId="2" xfId="0" applyFont="1" applyBorder="1" applyAlignment="1">
      <alignment horizontal="center" wrapText="1"/>
    </xf>
    <xf numFmtId="0" fontId="7" fillId="0" borderId="2" xfId="0" applyFont="1" applyBorder="1" applyAlignment="1">
      <alignment horizontal="center" wrapText="1"/>
    </xf>
    <xf numFmtId="0" fontId="8" fillId="0" borderId="3" xfId="0" applyFont="1" applyBorder="1" applyAlignment="1">
      <alignment horizontal="center" wrapText="1"/>
    </xf>
    <xf numFmtId="0" fontId="0" fillId="0" borderId="4" xfId="0" applyBorder="1"/>
    <xf numFmtId="0" fontId="0" fillId="0" borderId="5" xfId="0" applyBorder="1"/>
    <xf numFmtId="0" fontId="9" fillId="0" borderId="4" xfId="0" applyFont="1" applyBorder="1"/>
    <xf numFmtId="0" fontId="5" fillId="0" borderId="0" xfId="0" applyFont="1" applyAlignment="1">
      <alignment horizontal="center"/>
    </xf>
    <xf numFmtId="166" fontId="5" fillId="0" borderId="0" xfId="2" applyNumberFormat="1" applyFont="1" applyBorder="1"/>
    <xf numFmtId="44" fontId="5" fillId="0" borderId="0" xfId="3" applyFont="1" applyBorder="1"/>
    <xf numFmtId="2" fontId="5" fillId="0" borderId="0" xfId="1" applyNumberFormat="1" applyFont="1" applyBorder="1"/>
    <xf numFmtId="2" fontId="5" fillId="0" borderId="0" xfId="0" applyNumberFormat="1" applyFont="1"/>
    <xf numFmtId="165" fontId="5" fillId="0" borderId="0" xfId="3" applyNumberFormat="1" applyFont="1" applyBorder="1"/>
    <xf numFmtId="0" fontId="5" fillId="5" borderId="0" xfId="0" applyFont="1" applyFill="1"/>
    <xf numFmtId="44" fontId="5" fillId="5" borderId="0" xfId="3" applyFont="1" applyFill="1" applyBorder="1"/>
    <xf numFmtId="165" fontId="5" fillId="0" borderId="0" xfId="0" applyNumberFormat="1" applyFont="1"/>
    <xf numFmtId="10" fontId="5" fillId="0" borderId="0" xfId="1" applyNumberFormat="1" applyFont="1" applyBorder="1"/>
    <xf numFmtId="10" fontId="5" fillId="0" borderId="5" xfId="0" applyNumberFormat="1" applyFont="1" applyBorder="1" applyAlignment="1">
      <alignment horizontal="center"/>
    </xf>
    <xf numFmtId="44" fontId="5" fillId="0" borderId="0" xfId="0" applyNumberFormat="1" applyFont="1"/>
    <xf numFmtId="0" fontId="5" fillId="0" borderId="5" xfId="0" applyFont="1" applyBorder="1" applyAlignment="1">
      <alignment horizontal="center"/>
    </xf>
    <xf numFmtId="0" fontId="5" fillId="0" borderId="4" xfId="0" applyFont="1" applyBorder="1" applyAlignment="1">
      <alignment horizontal="left" indent="1"/>
    </xf>
    <xf numFmtId="10" fontId="5" fillId="0" borderId="5" xfId="0" applyNumberFormat="1" applyFont="1" applyBorder="1" applyAlignment="1">
      <alignment horizontal="center" vertical="center"/>
    </xf>
    <xf numFmtId="0" fontId="0" fillId="0" borderId="0" xfId="0" applyAlignment="1">
      <alignment horizontal="right"/>
    </xf>
    <xf numFmtId="9" fontId="5" fillId="5" borderId="0" xfId="1" applyFont="1" applyFill="1" applyBorder="1"/>
    <xf numFmtId="0" fontId="0" fillId="0" borderId="0" xfId="0" applyAlignment="1">
      <alignment horizontal="center"/>
    </xf>
    <xf numFmtId="165" fontId="5" fillId="0" borderId="0" xfId="0" applyNumberFormat="1" applyFont="1" applyAlignment="1">
      <alignment horizontal="left" indent="1"/>
    </xf>
    <xf numFmtId="166" fontId="5" fillId="0" borderId="0" xfId="0" applyNumberFormat="1" applyFont="1"/>
    <xf numFmtId="1" fontId="5" fillId="0" borderId="0" xfId="0" applyNumberFormat="1" applyFont="1"/>
    <xf numFmtId="169" fontId="5" fillId="5" borderId="0" xfId="3" applyNumberFormat="1" applyFont="1" applyFill="1" applyBorder="1"/>
    <xf numFmtId="0" fontId="5" fillId="0" borderId="5" xfId="0" applyFont="1" applyBorder="1"/>
    <xf numFmtId="9" fontId="5" fillId="0" borderId="0" xfId="0" applyNumberFormat="1" applyFont="1"/>
    <xf numFmtId="0" fontId="9" fillId="0" borderId="6" xfId="0" applyFont="1" applyBorder="1"/>
    <xf numFmtId="0" fontId="0" fillId="0" borderId="7" xfId="0" applyBorder="1"/>
    <xf numFmtId="0" fontId="5" fillId="0" borderId="7" xfId="0" applyFont="1" applyBorder="1"/>
    <xf numFmtId="165" fontId="5" fillId="0" borderId="7" xfId="0" applyNumberFormat="1" applyFont="1" applyBorder="1"/>
    <xf numFmtId="168" fontId="5" fillId="0" borderId="7" xfId="1" applyNumberFormat="1" applyFont="1" applyBorder="1"/>
    <xf numFmtId="168" fontId="5" fillId="0" borderId="8" xfId="1" applyNumberFormat="1" applyFont="1" applyBorder="1"/>
    <xf numFmtId="0" fontId="0" fillId="0" borderId="3" xfId="0" applyBorder="1"/>
    <xf numFmtId="165" fontId="5" fillId="0" borderId="5" xfId="0" applyNumberFormat="1" applyFont="1" applyBorder="1"/>
    <xf numFmtId="165" fontId="5" fillId="0" borderId="8" xfId="0" applyNumberFormat="1" applyFont="1" applyBorder="1"/>
    <xf numFmtId="0" fontId="0" fillId="0" borderId="0" xfId="0" applyAlignment="1">
      <alignment wrapText="1"/>
    </xf>
    <xf numFmtId="0" fontId="24" fillId="0" borderId="0" xfId="0" applyFont="1" applyAlignment="1">
      <alignment wrapText="1"/>
    </xf>
    <xf numFmtId="0" fontId="24" fillId="0" borderId="0" xfId="0" applyFont="1"/>
    <xf numFmtId="9" fontId="5" fillId="0" borderId="0" xfId="0" applyNumberFormat="1" applyFont="1" applyAlignment="1">
      <alignment horizontal="right" indent="1"/>
    </xf>
    <xf numFmtId="166" fontId="5" fillId="0" borderId="0" xfId="2" applyNumberFormat="1" applyFont="1" applyBorder="1" applyAlignment="1">
      <alignment horizontal="left" indent="1"/>
    </xf>
    <xf numFmtId="9" fontId="5" fillId="0" borderId="0" xfId="1" applyFont="1" applyBorder="1"/>
    <xf numFmtId="0" fontId="25" fillId="0" borderId="0" xfId="5" applyFill="1"/>
    <xf numFmtId="0" fontId="27" fillId="0" borderId="4" xfId="0" applyFont="1" applyBorder="1" applyAlignment="1">
      <alignment horizontal="left" indent="1"/>
    </xf>
    <xf numFmtId="0" fontId="28" fillId="0" borderId="4" xfId="0" applyFont="1" applyBorder="1"/>
    <xf numFmtId="0" fontId="0" fillId="0" borderId="0" xfId="0" applyAlignment="1">
      <alignment horizontal="left"/>
    </xf>
    <xf numFmtId="164" fontId="0" fillId="0" borderId="0" xfId="0" applyNumberFormat="1"/>
    <xf numFmtId="0" fontId="29" fillId="0" borderId="0" xfId="0" applyFont="1"/>
    <xf numFmtId="0" fontId="23" fillId="6" borderId="0" xfId="0" applyFont="1" applyFill="1"/>
    <xf numFmtId="0" fontId="30" fillId="0" borderId="0" xfId="4" applyFont="1"/>
    <xf numFmtId="171" fontId="3" fillId="0" borderId="0" xfId="4" applyNumberFormat="1"/>
    <xf numFmtId="172" fontId="3" fillId="0" borderId="0" xfId="4" applyNumberFormat="1"/>
    <xf numFmtId="0" fontId="31" fillId="0" borderId="0" xfId="4" applyFont="1" applyAlignment="1">
      <alignment horizontal="right"/>
    </xf>
    <xf numFmtId="0" fontId="26" fillId="2" borderId="0" xfId="0" applyFont="1" applyFill="1" applyAlignment="1">
      <alignment vertical="center" wrapText="1"/>
    </xf>
    <xf numFmtId="165" fontId="0" fillId="0" borderId="0" xfId="0" applyNumberFormat="1"/>
    <xf numFmtId="0" fontId="31" fillId="0" borderId="4" xfId="0" applyFont="1" applyBorder="1" applyAlignment="1">
      <alignment horizontal="left" indent="1"/>
    </xf>
    <xf numFmtId="0" fontId="32" fillId="0" borderId="0" xfId="4" applyFont="1"/>
    <xf numFmtId="166" fontId="5" fillId="0" borderId="0" xfId="2" applyNumberFormat="1" applyFont="1"/>
    <xf numFmtId="166" fontId="5" fillId="0" borderId="0" xfId="2" applyNumberFormat="1" applyFont="1" applyAlignment="1">
      <alignment horizontal="left" indent="1"/>
    </xf>
    <xf numFmtId="0" fontId="33" fillId="3" borderId="0" xfId="0" applyFont="1" applyFill="1" applyAlignment="1">
      <alignment horizontal="left"/>
    </xf>
    <xf numFmtId="0" fontId="33" fillId="3" borderId="0" xfId="0" quotePrefix="1" applyFont="1" applyFill="1" applyAlignment="1">
      <alignment horizontal="left"/>
    </xf>
    <xf numFmtId="0" fontId="33" fillId="2" borderId="0" xfId="0" quotePrefix="1" applyFont="1" applyFill="1" applyAlignment="1">
      <alignment horizontal="left"/>
    </xf>
    <xf numFmtId="0" fontId="33" fillId="2" borderId="0" xfId="0" applyFont="1" applyFill="1"/>
    <xf numFmtId="1" fontId="33" fillId="3" borderId="0" xfId="0" applyNumberFormat="1" applyFont="1" applyFill="1" applyAlignment="1">
      <alignment horizontal="left"/>
    </xf>
    <xf numFmtId="0" fontId="33" fillId="3" borderId="0" xfId="0" applyFont="1" applyFill="1"/>
    <xf numFmtId="0" fontId="33" fillId="0" borderId="4" xfId="0" applyFont="1" applyBorder="1" applyAlignment="1">
      <alignment horizontal="left" indent="1"/>
    </xf>
    <xf numFmtId="0" fontId="34" fillId="0" borderId="4" xfId="0" applyFont="1" applyBorder="1" applyAlignment="1">
      <alignment horizontal="left" indent="1"/>
    </xf>
    <xf numFmtId="166" fontId="33" fillId="0" borderId="0" xfId="2" applyNumberFormat="1" applyFont="1" applyBorder="1" applyAlignment="1">
      <alignment horizontal="left" indent="1"/>
    </xf>
    <xf numFmtId="44" fontId="33" fillId="0" borderId="0" xfId="3" applyFont="1" applyBorder="1"/>
    <xf numFmtId="0" fontId="35" fillId="2" borderId="0" xfId="0" applyFont="1" applyFill="1" applyAlignment="1">
      <alignment vertical="center" wrapText="1"/>
    </xf>
    <xf numFmtId="0" fontId="36" fillId="2" borderId="0" xfId="0" applyFont="1" applyFill="1" applyAlignment="1">
      <alignment horizontal="left"/>
    </xf>
    <xf numFmtId="0" fontId="33" fillId="2" borderId="0" xfId="0" applyFont="1" applyFill="1" applyAlignment="1">
      <alignment horizontal="left"/>
    </xf>
    <xf numFmtId="170" fontId="33" fillId="2" borderId="0" xfId="0" applyNumberFormat="1" applyFont="1" applyFill="1" applyAlignment="1">
      <alignment horizontal="left"/>
    </xf>
    <xf numFmtId="164" fontId="33" fillId="2" borderId="0" xfId="0" applyNumberFormat="1" applyFont="1" applyFill="1" applyAlignment="1">
      <alignment horizontal="left"/>
    </xf>
    <xf numFmtId="1" fontId="33" fillId="2" borderId="0" xfId="0" applyNumberFormat="1" applyFont="1" applyFill="1" applyAlignment="1">
      <alignment horizontal="left"/>
    </xf>
    <xf numFmtId="2" fontId="33" fillId="2" borderId="0" xfId="0" applyNumberFormat="1" applyFont="1" applyFill="1" applyAlignment="1">
      <alignment horizontal="left"/>
    </xf>
    <xf numFmtId="0" fontId="24" fillId="2" borderId="0" xfId="0" applyFont="1" applyFill="1"/>
    <xf numFmtId="9" fontId="33" fillId="2" borderId="0" xfId="0" applyNumberFormat="1" applyFont="1" applyFill="1" applyAlignment="1">
      <alignment horizontal="left"/>
    </xf>
    <xf numFmtId="9" fontId="33" fillId="2" borderId="0" xfId="1" applyFont="1" applyFill="1" applyBorder="1" applyAlignment="1">
      <alignment horizontal="left"/>
    </xf>
    <xf numFmtId="0" fontId="36" fillId="3" borderId="0" xfId="0" applyFont="1" applyFill="1" applyAlignment="1">
      <alignment horizontal="left"/>
    </xf>
    <xf numFmtId="0" fontId="37" fillId="3" borderId="0" xfId="0" applyFont="1" applyFill="1" applyAlignment="1">
      <alignment horizontal="center" vertical="center" wrapText="1"/>
    </xf>
    <xf numFmtId="171" fontId="33" fillId="3" borderId="0" xfId="0" applyNumberFormat="1" applyFont="1" applyFill="1" applyAlignment="1">
      <alignment horizontal="left"/>
    </xf>
    <xf numFmtId="164" fontId="33" fillId="3" borderId="0" xfId="0" applyNumberFormat="1" applyFont="1" applyFill="1" applyAlignment="1">
      <alignment horizontal="left"/>
    </xf>
    <xf numFmtId="2" fontId="33" fillId="3" borderId="0" xfId="0" applyNumberFormat="1" applyFont="1" applyFill="1" applyAlignment="1">
      <alignment horizontal="left"/>
    </xf>
    <xf numFmtId="0" fontId="0" fillId="0" borderId="0" xfId="0" quotePrefix="1"/>
    <xf numFmtId="49" fontId="3" fillId="0" borderId="0" xfId="4" applyNumberFormat="1"/>
    <xf numFmtId="0" fontId="23" fillId="0" borderId="0" xfId="0" applyFont="1"/>
    <xf numFmtId="0" fontId="1" fillId="0" borderId="0" xfId="4" applyFont="1"/>
    <xf numFmtId="0" fontId="38" fillId="0" borderId="0" xfId="0" applyFont="1"/>
    <xf numFmtId="44" fontId="38" fillId="0" borderId="0" xfId="3" applyFont="1" applyAlignment="1">
      <alignment vertical="center" wrapText="1"/>
    </xf>
    <xf numFmtId="44" fontId="38" fillId="0" borderId="0" xfId="0" applyNumberFormat="1" applyFont="1"/>
    <xf numFmtId="165" fontId="0" fillId="0" borderId="0" xfId="3" applyNumberFormat="1" applyFont="1" applyFill="1"/>
    <xf numFmtId="0" fontId="0" fillId="7" borderId="0" xfId="0" applyFill="1"/>
    <xf numFmtId="164" fontId="0" fillId="7" borderId="0" xfId="0" applyNumberFormat="1" applyFill="1"/>
    <xf numFmtId="165" fontId="0" fillId="7" borderId="0" xfId="3" applyNumberFormat="1" applyFont="1" applyFill="1"/>
    <xf numFmtId="169" fontId="0" fillId="6" borderId="0" xfId="3" applyNumberFormat="1" applyFont="1" applyFill="1"/>
    <xf numFmtId="0" fontId="38" fillId="7" borderId="0" xfId="0" applyFont="1" applyFill="1" applyAlignment="1">
      <alignment vertical="center" wrapText="1"/>
    </xf>
    <xf numFmtId="0" fontId="29" fillId="7" borderId="0" xfId="0" applyFont="1" applyFill="1"/>
    <xf numFmtId="0" fontId="39" fillId="0" borderId="0" xfId="0" applyFont="1"/>
    <xf numFmtId="0" fontId="40" fillId="0" borderId="0" xfId="0" applyFont="1" applyAlignment="1">
      <alignment vertical="center" wrapText="1"/>
    </xf>
    <xf numFmtId="0" fontId="0" fillId="0" borderId="0" xfId="0" applyFont="1" applyFill="1"/>
    <xf numFmtId="0" fontId="26" fillId="2" borderId="0" xfId="0" applyFont="1" applyFill="1" applyAlignment="1">
      <alignment horizontal="center" vertical="center" wrapText="1"/>
    </xf>
    <xf numFmtId="0" fontId="26" fillId="3" borderId="0" xfId="0" applyFont="1" applyFill="1" applyAlignment="1">
      <alignment horizontal="center" vertical="center" wrapText="1"/>
    </xf>
    <xf numFmtId="0" fontId="10" fillId="0" borderId="0" xfId="4" applyFont="1" applyAlignment="1">
      <alignment horizontal="center"/>
    </xf>
    <xf numFmtId="0" fontId="3" fillId="0" borderId="0" xfId="4" applyAlignment="1">
      <alignment horizontal="center"/>
    </xf>
    <xf numFmtId="0" fontId="10" fillId="0" borderId="0" xfId="4" applyFont="1" applyAlignment="1">
      <alignment horizontal="left"/>
    </xf>
    <xf numFmtId="0" fontId="18" fillId="0" borderId="0" xfId="0" applyFont="1" applyAlignment="1">
      <alignment horizontal="center"/>
    </xf>
    <xf numFmtId="0" fontId="1" fillId="0" borderId="0" xfId="4" applyFont="1" applyAlignment="1">
      <alignment horizontal="right"/>
    </xf>
    <xf numFmtId="172" fontId="1" fillId="0" borderId="0" xfId="4" applyNumberFormat="1" applyFont="1"/>
    <xf numFmtId="0" fontId="1" fillId="0" borderId="0" xfId="4" quotePrefix="1" applyFont="1"/>
    <xf numFmtId="165" fontId="1" fillId="0" borderId="0" xfId="3" applyNumberFormat="1" applyFont="1"/>
    <xf numFmtId="166" fontId="1" fillId="0" borderId="0" xfId="2" applyNumberFormat="1" applyFont="1" applyFill="1"/>
    <xf numFmtId="0" fontId="1" fillId="0" borderId="0" xfId="0" applyFont="1"/>
    <xf numFmtId="49" fontId="1" fillId="0" borderId="0" xfId="4" applyNumberFormat="1" applyFont="1" applyAlignment="1">
      <alignment horizontal="right"/>
    </xf>
    <xf numFmtId="49" fontId="1" fillId="0" borderId="0" xfId="4" applyNumberFormat="1" applyFont="1"/>
    <xf numFmtId="1" fontId="1" fillId="0" borderId="0" xfId="0" applyNumberFormat="1" applyFont="1"/>
    <xf numFmtId="164" fontId="1" fillId="0" borderId="0" xfId="0" applyNumberFormat="1" applyFont="1"/>
  </cellXfs>
  <cellStyles count="6">
    <cellStyle name="Bad" xfId="5" builtinId="27"/>
    <cellStyle name="Comma" xfId="2" builtinId="3"/>
    <cellStyle name="Currency" xfId="3" builtinId="4"/>
    <cellStyle name="Normal" xfId="0" builtinId="0"/>
    <cellStyle name="Normal 2" xfId="4" xr:uid="{788ACC8E-45EB-AD43-BDD1-EAFC117DAC6B}"/>
    <cellStyle name="Percent" xfId="1" builtinId="5"/>
  </cellStyles>
  <dxfs count="0"/>
  <tableStyles count="0" defaultTableStyle="TableStyleMedium2" defaultPivotStyle="PivotStyleLight16"/>
  <colors>
    <mruColors>
      <color rgb="FFBDD7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Underground Powestation Structure Cost $/kW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L-PSH'!$B$2:$B$3</c:f>
              <c:strCache>
                <c:ptCount val="2"/>
                <c:pt idx="0">
                  <c:v>$/kW Average Conditions</c:v>
                </c:pt>
                <c:pt idx="1">
                  <c:v>2 Units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olid"/>
              </a:ln>
              <a:effectLst/>
            </c:spPr>
            <c:trendlineType val="power"/>
            <c:dispRSqr val="0"/>
            <c:dispEq val="0"/>
          </c:trendline>
          <c:xVal>
            <c:numRef>
              <c:f>'Cost Curves L-PSH'!$A$4:$A$9</c:f>
              <c:numCache>
                <c:formatCode>General</c:formatCode>
                <c:ptCount val="6"/>
                <c:pt idx="0">
                  <c:v>350</c:v>
                </c:pt>
                <c:pt idx="1">
                  <c:v>500</c:v>
                </c:pt>
                <c:pt idx="2">
                  <c:v>1000</c:v>
                </c:pt>
                <c:pt idx="3">
                  <c:v>1500</c:v>
                </c:pt>
                <c:pt idx="4">
                  <c:v>2000</c:v>
                </c:pt>
                <c:pt idx="5">
                  <c:v>2250</c:v>
                </c:pt>
              </c:numCache>
            </c:numRef>
          </c:xVal>
          <c:yVal>
            <c:numRef>
              <c:f>'Cost Curves L-PSH'!$B$4:$B$9</c:f>
              <c:numCache>
                <c:formatCode>General</c:formatCode>
                <c:ptCount val="6"/>
                <c:pt idx="0">
                  <c:v>135</c:v>
                </c:pt>
                <c:pt idx="1">
                  <c:v>113</c:v>
                </c:pt>
                <c:pt idx="2">
                  <c:v>91</c:v>
                </c:pt>
                <c:pt idx="3">
                  <c:v>81</c:v>
                </c:pt>
                <c:pt idx="4">
                  <c:v>78</c:v>
                </c:pt>
                <c:pt idx="5">
                  <c:v>77</c:v>
                </c:pt>
              </c:numCache>
            </c:numRef>
          </c:yVal>
          <c:smooth val="0"/>
          <c:extLst>
            <c:ext xmlns:c16="http://schemas.microsoft.com/office/drawing/2014/chart" uri="{C3380CC4-5D6E-409C-BE32-E72D297353CC}">
              <c16:uniqueId val="{00000001-C4BC-BA4B-99BE-1AF286155B8B}"/>
            </c:ext>
          </c:extLst>
        </c:ser>
        <c:ser>
          <c:idx val="1"/>
          <c:order val="1"/>
          <c:tx>
            <c:strRef>
              <c:f>'Cost Curves L-PSH'!$C$2:$C$3</c:f>
              <c:strCache>
                <c:ptCount val="2"/>
                <c:pt idx="0">
                  <c:v>$/kW Average Conditions</c:v>
                </c:pt>
                <c:pt idx="1">
                  <c:v>3 Units</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olid"/>
              </a:ln>
              <a:effectLst/>
            </c:spPr>
            <c:trendlineType val="power"/>
            <c:dispRSqr val="0"/>
            <c:dispEq val="0"/>
          </c:trendline>
          <c:xVal>
            <c:numRef>
              <c:f>'Cost Curves L-PSH'!$A$4:$A$9</c:f>
              <c:numCache>
                <c:formatCode>General</c:formatCode>
                <c:ptCount val="6"/>
                <c:pt idx="0">
                  <c:v>350</c:v>
                </c:pt>
                <c:pt idx="1">
                  <c:v>500</c:v>
                </c:pt>
                <c:pt idx="2">
                  <c:v>1000</c:v>
                </c:pt>
                <c:pt idx="3">
                  <c:v>1500</c:v>
                </c:pt>
                <c:pt idx="4">
                  <c:v>2000</c:v>
                </c:pt>
                <c:pt idx="5">
                  <c:v>2250</c:v>
                </c:pt>
              </c:numCache>
            </c:numRef>
          </c:xVal>
          <c:yVal>
            <c:numRef>
              <c:f>'Cost Curves L-PSH'!$C$4:$C$9</c:f>
              <c:numCache>
                <c:formatCode>General</c:formatCode>
                <c:ptCount val="6"/>
                <c:pt idx="0">
                  <c:v>116</c:v>
                </c:pt>
                <c:pt idx="1">
                  <c:v>96</c:v>
                </c:pt>
                <c:pt idx="2">
                  <c:v>76</c:v>
                </c:pt>
                <c:pt idx="3">
                  <c:v>69</c:v>
                </c:pt>
                <c:pt idx="4">
                  <c:v>63</c:v>
                </c:pt>
                <c:pt idx="5">
                  <c:v>62</c:v>
                </c:pt>
              </c:numCache>
            </c:numRef>
          </c:yVal>
          <c:smooth val="0"/>
          <c:extLst>
            <c:ext xmlns:c16="http://schemas.microsoft.com/office/drawing/2014/chart" uri="{C3380CC4-5D6E-409C-BE32-E72D297353CC}">
              <c16:uniqueId val="{00000003-C4BC-BA4B-99BE-1AF286155B8B}"/>
            </c:ext>
          </c:extLst>
        </c:ser>
        <c:ser>
          <c:idx val="2"/>
          <c:order val="2"/>
          <c:tx>
            <c:strRef>
              <c:f>'Cost Curves L-PSH'!$D$2:$D$3</c:f>
              <c:strCache>
                <c:ptCount val="2"/>
                <c:pt idx="0">
                  <c:v>$/kW Average Conditions</c:v>
                </c:pt>
                <c:pt idx="1">
                  <c:v>4 Units</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olid"/>
              </a:ln>
              <a:effectLst/>
            </c:spPr>
            <c:trendlineType val="power"/>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L-PSH'!$A$4:$A$9</c:f>
              <c:numCache>
                <c:formatCode>General</c:formatCode>
                <c:ptCount val="6"/>
                <c:pt idx="0">
                  <c:v>350</c:v>
                </c:pt>
                <c:pt idx="1">
                  <c:v>500</c:v>
                </c:pt>
                <c:pt idx="2">
                  <c:v>1000</c:v>
                </c:pt>
                <c:pt idx="3">
                  <c:v>1500</c:v>
                </c:pt>
                <c:pt idx="4">
                  <c:v>2000</c:v>
                </c:pt>
                <c:pt idx="5">
                  <c:v>2250</c:v>
                </c:pt>
              </c:numCache>
            </c:numRef>
          </c:xVal>
          <c:yVal>
            <c:numRef>
              <c:f>'Cost Curves L-PSH'!$D$4:$D$9</c:f>
              <c:numCache>
                <c:formatCode>General</c:formatCode>
                <c:ptCount val="6"/>
                <c:pt idx="0">
                  <c:v>104</c:v>
                </c:pt>
                <c:pt idx="1">
                  <c:v>86</c:v>
                </c:pt>
                <c:pt idx="2">
                  <c:v>68</c:v>
                </c:pt>
                <c:pt idx="3">
                  <c:v>59.5</c:v>
                </c:pt>
                <c:pt idx="4">
                  <c:v>58</c:v>
                </c:pt>
                <c:pt idx="5">
                  <c:v>57</c:v>
                </c:pt>
              </c:numCache>
            </c:numRef>
          </c:yVal>
          <c:smooth val="0"/>
          <c:extLst>
            <c:ext xmlns:c16="http://schemas.microsoft.com/office/drawing/2014/chart" uri="{C3380CC4-5D6E-409C-BE32-E72D297353CC}">
              <c16:uniqueId val="{00000005-C4BC-BA4B-99BE-1AF286155B8B}"/>
            </c:ext>
          </c:extLst>
        </c:ser>
        <c:ser>
          <c:idx val="3"/>
          <c:order val="3"/>
          <c:tx>
            <c:strRef>
              <c:f>'Cost Curves L-PSH'!$E$2:$E$3</c:f>
              <c:strCache>
                <c:ptCount val="2"/>
                <c:pt idx="0">
                  <c:v>$/kW Average Conditions</c:v>
                </c:pt>
                <c:pt idx="1">
                  <c:v>6 Units</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olid"/>
              </a:ln>
              <a:effectLst/>
            </c:spPr>
            <c:trendlineType val="power"/>
            <c:dispRSqr val="0"/>
            <c:dispEq val="1"/>
            <c:trendlineLbl>
              <c:layout>
                <c:manualLayout>
                  <c:x val="8.7420649816608888E-3"/>
                  <c:y val="1.2626514321692043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L-PSH'!$A$4:$A$9</c:f>
              <c:numCache>
                <c:formatCode>General</c:formatCode>
                <c:ptCount val="6"/>
                <c:pt idx="0">
                  <c:v>350</c:v>
                </c:pt>
                <c:pt idx="1">
                  <c:v>500</c:v>
                </c:pt>
                <c:pt idx="2">
                  <c:v>1000</c:v>
                </c:pt>
                <c:pt idx="3">
                  <c:v>1500</c:v>
                </c:pt>
                <c:pt idx="4">
                  <c:v>2000</c:v>
                </c:pt>
                <c:pt idx="5">
                  <c:v>2250</c:v>
                </c:pt>
              </c:numCache>
            </c:numRef>
          </c:xVal>
          <c:yVal>
            <c:numRef>
              <c:f>'Cost Curves L-PSH'!$E$4:$E$9</c:f>
              <c:numCache>
                <c:formatCode>General</c:formatCode>
                <c:ptCount val="6"/>
                <c:pt idx="0">
                  <c:v>92</c:v>
                </c:pt>
                <c:pt idx="1">
                  <c:v>78</c:v>
                </c:pt>
                <c:pt idx="2">
                  <c:v>60</c:v>
                </c:pt>
                <c:pt idx="3">
                  <c:v>54</c:v>
                </c:pt>
                <c:pt idx="4">
                  <c:v>50</c:v>
                </c:pt>
                <c:pt idx="5">
                  <c:v>49</c:v>
                </c:pt>
              </c:numCache>
            </c:numRef>
          </c:yVal>
          <c:smooth val="0"/>
          <c:extLst>
            <c:ext xmlns:c16="http://schemas.microsoft.com/office/drawing/2014/chart" uri="{C3380CC4-5D6E-409C-BE32-E72D297353CC}">
              <c16:uniqueId val="{00000007-C4BC-BA4B-99BE-1AF286155B8B}"/>
            </c:ext>
          </c:extLst>
        </c:ser>
        <c:ser>
          <c:idx val="4"/>
          <c:order val="4"/>
          <c:tx>
            <c:strRef>
              <c:f>'Cost Curves L-PSH'!$F$2:$F$3</c:f>
              <c:strCache>
                <c:ptCount val="2"/>
                <c:pt idx="0">
                  <c:v>$/kW Adverse Conditions</c:v>
                </c:pt>
                <c:pt idx="1">
                  <c:v>2 Units</c:v>
                </c:pt>
              </c:strCache>
            </c:strRef>
          </c:tx>
          <c:spPr>
            <a:ln w="25400" cap="rnd">
              <a:no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power"/>
            <c:dispRSqr val="1"/>
            <c:dispEq val="1"/>
            <c:trendlineLbl>
              <c:layout>
                <c:manualLayout>
                  <c:x val="-9.3026348678835215E-6"/>
                  <c:y val="-4.28057207642333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L-PSH'!$A$4:$A$9</c:f>
              <c:numCache>
                <c:formatCode>General</c:formatCode>
                <c:ptCount val="6"/>
                <c:pt idx="0">
                  <c:v>350</c:v>
                </c:pt>
                <c:pt idx="1">
                  <c:v>500</c:v>
                </c:pt>
                <c:pt idx="2">
                  <c:v>1000</c:v>
                </c:pt>
                <c:pt idx="3">
                  <c:v>1500</c:v>
                </c:pt>
                <c:pt idx="4">
                  <c:v>2000</c:v>
                </c:pt>
                <c:pt idx="5">
                  <c:v>2250</c:v>
                </c:pt>
              </c:numCache>
            </c:numRef>
          </c:xVal>
          <c:yVal>
            <c:numRef>
              <c:f>'Cost Curves L-PSH'!$F$4:$F$9</c:f>
              <c:numCache>
                <c:formatCode>General</c:formatCode>
                <c:ptCount val="6"/>
                <c:pt idx="0">
                  <c:v>174</c:v>
                </c:pt>
                <c:pt idx="1">
                  <c:v>150</c:v>
                </c:pt>
                <c:pt idx="2">
                  <c:v>116</c:v>
                </c:pt>
                <c:pt idx="3">
                  <c:v>103</c:v>
                </c:pt>
                <c:pt idx="4">
                  <c:v>98</c:v>
                </c:pt>
                <c:pt idx="5">
                  <c:v>97</c:v>
                </c:pt>
              </c:numCache>
            </c:numRef>
          </c:yVal>
          <c:smooth val="0"/>
          <c:extLst>
            <c:ext xmlns:c16="http://schemas.microsoft.com/office/drawing/2014/chart" uri="{C3380CC4-5D6E-409C-BE32-E72D297353CC}">
              <c16:uniqueId val="{00000009-C4BC-BA4B-99BE-1AF286155B8B}"/>
            </c:ext>
          </c:extLst>
        </c:ser>
        <c:ser>
          <c:idx val="5"/>
          <c:order val="5"/>
          <c:tx>
            <c:strRef>
              <c:f>'Cost Curves L-PSH'!$G$2:$G$3</c:f>
              <c:strCache>
                <c:ptCount val="2"/>
                <c:pt idx="0">
                  <c:v>$/kW Adverse Conditions</c:v>
                </c:pt>
                <c:pt idx="1">
                  <c:v>3 Units</c:v>
                </c:pt>
              </c:strCache>
            </c:strRef>
          </c:tx>
          <c:spPr>
            <a:ln w="25400" cap="rnd">
              <a:no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power"/>
            <c:dispRSqr val="1"/>
            <c:dispEq val="1"/>
            <c:trendlineLbl>
              <c:layout>
                <c:manualLayout>
                  <c:x val="-7.7980198135786426E-3"/>
                  <c:y val="-3.7116301230372843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L-PSH'!$A$4:$A$9</c:f>
              <c:numCache>
                <c:formatCode>General</c:formatCode>
                <c:ptCount val="6"/>
                <c:pt idx="0">
                  <c:v>350</c:v>
                </c:pt>
                <c:pt idx="1">
                  <c:v>500</c:v>
                </c:pt>
                <c:pt idx="2">
                  <c:v>1000</c:v>
                </c:pt>
                <c:pt idx="3">
                  <c:v>1500</c:v>
                </c:pt>
                <c:pt idx="4">
                  <c:v>2000</c:v>
                </c:pt>
                <c:pt idx="5">
                  <c:v>2250</c:v>
                </c:pt>
              </c:numCache>
            </c:numRef>
          </c:xVal>
          <c:yVal>
            <c:numRef>
              <c:f>'Cost Curves L-PSH'!$G$4:$G$9</c:f>
              <c:numCache>
                <c:formatCode>General</c:formatCode>
                <c:ptCount val="6"/>
                <c:pt idx="0">
                  <c:v>145</c:v>
                </c:pt>
                <c:pt idx="1">
                  <c:v>124</c:v>
                </c:pt>
                <c:pt idx="2">
                  <c:v>98</c:v>
                </c:pt>
                <c:pt idx="3">
                  <c:v>88</c:v>
                </c:pt>
                <c:pt idx="4">
                  <c:v>82</c:v>
                </c:pt>
                <c:pt idx="5">
                  <c:v>81</c:v>
                </c:pt>
              </c:numCache>
            </c:numRef>
          </c:yVal>
          <c:smooth val="0"/>
          <c:extLst>
            <c:ext xmlns:c16="http://schemas.microsoft.com/office/drawing/2014/chart" uri="{C3380CC4-5D6E-409C-BE32-E72D297353CC}">
              <c16:uniqueId val="{0000000B-C4BC-BA4B-99BE-1AF286155B8B}"/>
            </c:ext>
          </c:extLst>
        </c:ser>
        <c:ser>
          <c:idx val="6"/>
          <c:order val="6"/>
          <c:tx>
            <c:strRef>
              <c:f>'Cost Curves L-PSH'!$H$2:$H$3</c:f>
              <c:strCache>
                <c:ptCount val="2"/>
                <c:pt idx="0">
                  <c:v>$/kW Adverse Conditions</c:v>
                </c:pt>
                <c:pt idx="1">
                  <c:v>4 Units</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trendline>
            <c:spPr>
              <a:ln w="19050" cap="rnd">
                <a:solidFill>
                  <a:schemeClr val="accent1">
                    <a:lumMod val="60000"/>
                  </a:schemeClr>
                </a:solidFill>
                <a:prstDash val="sysDot"/>
              </a:ln>
              <a:effectLst/>
            </c:spPr>
            <c:trendlineType val="power"/>
            <c:dispRSqr val="0"/>
            <c:dispEq val="0"/>
          </c:trendline>
          <c:xVal>
            <c:numRef>
              <c:f>'Cost Curves L-PSH'!$A$4:$A$9</c:f>
              <c:numCache>
                <c:formatCode>General</c:formatCode>
                <c:ptCount val="6"/>
                <c:pt idx="0">
                  <c:v>350</c:v>
                </c:pt>
                <c:pt idx="1">
                  <c:v>500</c:v>
                </c:pt>
                <c:pt idx="2">
                  <c:v>1000</c:v>
                </c:pt>
                <c:pt idx="3">
                  <c:v>1500</c:v>
                </c:pt>
                <c:pt idx="4">
                  <c:v>2000</c:v>
                </c:pt>
                <c:pt idx="5">
                  <c:v>2250</c:v>
                </c:pt>
              </c:numCache>
            </c:numRef>
          </c:xVal>
          <c:yVal>
            <c:numRef>
              <c:f>'Cost Curves L-PSH'!$H$4:$H$9</c:f>
              <c:numCache>
                <c:formatCode>General</c:formatCode>
                <c:ptCount val="6"/>
                <c:pt idx="0">
                  <c:v>132</c:v>
                </c:pt>
                <c:pt idx="1">
                  <c:v>113.5</c:v>
                </c:pt>
                <c:pt idx="2">
                  <c:v>86</c:v>
                </c:pt>
                <c:pt idx="3">
                  <c:v>77</c:v>
                </c:pt>
                <c:pt idx="4">
                  <c:v>72</c:v>
                </c:pt>
                <c:pt idx="5">
                  <c:v>71</c:v>
                </c:pt>
              </c:numCache>
            </c:numRef>
          </c:yVal>
          <c:smooth val="0"/>
          <c:extLst>
            <c:ext xmlns:c16="http://schemas.microsoft.com/office/drawing/2014/chart" uri="{C3380CC4-5D6E-409C-BE32-E72D297353CC}">
              <c16:uniqueId val="{0000000D-C4BC-BA4B-99BE-1AF286155B8B}"/>
            </c:ext>
          </c:extLst>
        </c:ser>
        <c:ser>
          <c:idx val="7"/>
          <c:order val="7"/>
          <c:tx>
            <c:strRef>
              <c:f>'Cost Curves L-PSH'!$I$2:$I$3</c:f>
              <c:strCache>
                <c:ptCount val="2"/>
                <c:pt idx="0">
                  <c:v>$/kW Adverse Conditions</c:v>
                </c:pt>
                <c:pt idx="1">
                  <c:v>6 Units</c:v>
                </c:pt>
              </c:strCache>
            </c:strRef>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trendline>
            <c:spPr>
              <a:ln w="19050" cap="rnd">
                <a:solidFill>
                  <a:schemeClr val="accent2">
                    <a:lumMod val="60000"/>
                  </a:schemeClr>
                </a:solidFill>
                <a:prstDash val="sysDot"/>
              </a:ln>
              <a:effectLst/>
            </c:spPr>
            <c:trendlineType val="power"/>
            <c:dispRSqr val="0"/>
            <c:dispEq val="0"/>
          </c:trendline>
          <c:xVal>
            <c:numRef>
              <c:f>'Cost Curves L-PSH'!$A$4:$A$9</c:f>
              <c:numCache>
                <c:formatCode>General</c:formatCode>
                <c:ptCount val="6"/>
                <c:pt idx="0">
                  <c:v>350</c:v>
                </c:pt>
                <c:pt idx="1">
                  <c:v>500</c:v>
                </c:pt>
                <c:pt idx="2">
                  <c:v>1000</c:v>
                </c:pt>
                <c:pt idx="3">
                  <c:v>1500</c:v>
                </c:pt>
                <c:pt idx="4">
                  <c:v>2000</c:v>
                </c:pt>
                <c:pt idx="5">
                  <c:v>2250</c:v>
                </c:pt>
              </c:numCache>
            </c:numRef>
          </c:xVal>
          <c:yVal>
            <c:numRef>
              <c:f>'Cost Curves L-PSH'!$I$4:$I$9</c:f>
              <c:numCache>
                <c:formatCode>General</c:formatCode>
                <c:ptCount val="6"/>
                <c:pt idx="0">
                  <c:v>118</c:v>
                </c:pt>
                <c:pt idx="1">
                  <c:v>102</c:v>
                </c:pt>
                <c:pt idx="2">
                  <c:v>76.5</c:v>
                </c:pt>
                <c:pt idx="3">
                  <c:v>68.5</c:v>
                </c:pt>
                <c:pt idx="4">
                  <c:v>62.5</c:v>
                </c:pt>
                <c:pt idx="5">
                  <c:v>62</c:v>
                </c:pt>
              </c:numCache>
            </c:numRef>
          </c:yVal>
          <c:smooth val="0"/>
          <c:extLst>
            <c:ext xmlns:c16="http://schemas.microsoft.com/office/drawing/2014/chart" uri="{C3380CC4-5D6E-409C-BE32-E72D297353CC}">
              <c16:uniqueId val="{0000000F-C4BC-BA4B-99BE-1AF286155B8B}"/>
            </c:ext>
          </c:extLst>
        </c:ser>
        <c:dLbls>
          <c:showLegendKey val="0"/>
          <c:showVal val="0"/>
          <c:showCatName val="0"/>
          <c:showSerName val="0"/>
          <c:showPercent val="0"/>
          <c:showBubbleSize val="0"/>
        </c:dLbls>
        <c:axId val="1887612559"/>
        <c:axId val="1887614207"/>
      </c:scatterChart>
      <c:valAx>
        <c:axId val="18876125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7614207"/>
        <c:crosses val="autoZero"/>
        <c:crossBetween val="midCat"/>
      </c:valAx>
      <c:valAx>
        <c:axId val="18876142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76125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Underground Powestation Structure Cost $/kW</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L-PSH'!$L$2:$L$3</c:f>
              <c:strCache>
                <c:ptCount val="2"/>
                <c:pt idx="0">
                  <c:v>$/kW Average Conditions</c:v>
                </c:pt>
                <c:pt idx="1">
                  <c:v>2 Units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olid"/>
              </a:ln>
              <a:effectLst/>
            </c:spPr>
            <c:trendlineType val="power"/>
            <c:dispRSqr val="0"/>
            <c:dispEq val="0"/>
          </c:trendline>
          <c:xVal>
            <c:numRef>
              <c:f>'Cost Curves L-PSH'!$K$4:$K$8</c:f>
              <c:numCache>
                <c:formatCode>General</c:formatCode>
                <c:ptCount val="5"/>
                <c:pt idx="0">
                  <c:v>500</c:v>
                </c:pt>
                <c:pt idx="1">
                  <c:v>1000</c:v>
                </c:pt>
                <c:pt idx="2">
                  <c:v>1500</c:v>
                </c:pt>
                <c:pt idx="3">
                  <c:v>2000</c:v>
                </c:pt>
                <c:pt idx="4">
                  <c:v>2250</c:v>
                </c:pt>
              </c:numCache>
            </c:numRef>
          </c:xVal>
          <c:yVal>
            <c:numRef>
              <c:f>'Cost Curves L-PSH'!$L$4:$L$8</c:f>
              <c:numCache>
                <c:formatCode>General</c:formatCode>
                <c:ptCount val="5"/>
                <c:pt idx="0">
                  <c:v>78</c:v>
                </c:pt>
                <c:pt idx="1">
                  <c:v>48</c:v>
                </c:pt>
                <c:pt idx="2">
                  <c:v>40.5</c:v>
                </c:pt>
                <c:pt idx="3">
                  <c:v>36</c:v>
                </c:pt>
                <c:pt idx="4">
                  <c:v>35</c:v>
                </c:pt>
              </c:numCache>
            </c:numRef>
          </c:yVal>
          <c:smooth val="0"/>
          <c:extLst>
            <c:ext xmlns:c16="http://schemas.microsoft.com/office/drawing/2014/chart" uri="{C3380CC4-5D6E-409C-BE32-E72D297353CC}">
              <c16:uniqueId val="{00000001-0F8B-D144-8723-9380D6498029}"/>
            </c:ext>
          </c:extLst>
        </c:ser>
        <c:ser>
          <c:idx val="1"/>
          <c:order val="1"/>
          <c:tx>
            <c:strRef>
              <c:f>'Cost Curves L-PSH'!$M$2:$M$3</c:f>
              <c:strCache>
                <c:ptCount val="2"/>
                <c:pt idx="0">
                  <c:v>$/kW Average Conditions</c:v>
                </c:pt>
                <c:pt idx="1">
                  <c:v>3 Units</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olid"/>
              </a:ln>
              <a:effectLst/>
            </c:spPr>
            <c:trendlineType val="power"/>
            <c:dispRSqr val="0"/>
            <c:dispEq val="0"/>
          </c:trendline>
          <c:xVal>
            <c:numRef>
              <c:f>'Cost Curves L-PSH'!$K$4:$K$8</c:f>
              <c:numCache>
                <c:formatCode>General</c:formatCode>
                <c:ptCount val="5"/>
                <c:pt idx="0">
                  <c:v>500</c:v>
                </c:pt>
                <c:pt idx="1">
                  <c:v>1000</c:v>
                </c:pt>
                <c:pt idx="2">
                  <c:v>1500</c:v>
                </c:pt>
                <c:pt idx="3">
                  <c:v>2000</c:v>
                </c:pt>
                <c:pt idx="4">
                  <c:v>2250</c:v>
                </c:pt>
              </c:numCache>
            </c:numRef>
          </c:xVal>
          <c:yVal>
            <c:numRef>
              <c:f>'Cost Curves L-PSH'!$M$4:$M$8</c:f>
              <c:numCache>
                <c:formatCode>General</c:formatCode>
                <c:ptCount val="5"/>
                <c:pt idx="0">
                  <c:v>70</c:v>
                </c:pt>
                <c:pt idx="1">
                  <c:v>42</c:v>
                </c:pt>
                <c:pt idx="2">
                  <c:v>34</c:v>
                </c:pt>
                <c:pt idx="3">
                  <c:v>31</c:v>
                </c:pt>
                <c:pt idx="4">
                  <c:v>30</c:v>
                </c:pt>
              </c:numCache>
            </c:numRef>
          </c:yVal>
          <c:smooth val="0"/>
          <c:extLst>
            <c:ext xmlns:c16="http://schemas.microsoft.com/office/drawing/2014/chart" uri="{C3380CC4-5D6E-409C-BE32-E72D297353CC}">
              <c16:uniqueId val="{00000003-0F8B-D144-8723-9380D6498029}"/>
            </c:ext>
          </c:extLst>
        </c:ser>
        <c:ser>
          <c:idx val="2"/>
          <c:order val="2"/>
          <c:tx>
            <c:strRef>
              <c:f>'Cost Curves L-PSH'!$N$2:$N$3</c:f>
              <c:strCache>
                <c:ptCount val="2"/>
                <c:pt idx="0">
                  <c:v>$/kW Average Conditions</c:v>
                </c:pt>
                <c:pt idx="1">
                  <c:v>4 Units</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olid"/>
              </a:ln>
              <a:effectLst/>
            </c:spPr>
            <c:trendlineType val="power"/>
            <c:dispRSqr val="0"/>
            <c:dispEq val="0"/>
          </c:trendline>
          <c:xVal>
            <c:numRef>
              <c:f>'Cost Curves L-PSH'!$K$4:$K$8</c:f>
              <c:numCache>
                <c:formatCode>General</c:formatCode>
                <c:ptCount val="5"/>
                <c:pt idx="0">
                  <c:v>500</c:v>
                </c:pt>
                <c:pt idx="1">
                  <c:v>1000</c:v>
                </c:pt>
                <c:pt idx="2">
                  <c:v>1500</c:v>
                </c:pt>
                <c:pt idx="3">
                  <c:v>2000</c:v>
                </c:pt>
                <c:pt idx="4">
                  <c:v>2250</c:v>
                </c:pt>
              </c:numCache>
            </c:numRef>
          </c:xVal>
          <c:yVal>
            <c:numRef>
              <c:f>'Cost Curves L-PSH'!$N$4:$N$8</c:f>
              <c:numCache>
                <c:formatCode>General</c:formatCode>
                <c:ptCount val="5"/>
                <c:pt idx="0">
                  <c:v>62</c:v>
                </c:pt>
                <c:pt idx="1">
                  <c:v>37</c:v>
                </c:pt>
                <c:pt idx="2">
                  <c:v>30</c:v>
                </c:pt>
                <c:pt idx="3">
                  <c:v>26</c:v>
                </c:pt>
                <c:pt idx="4">
                  <c:v>25</c:v>
                </c:pt>
              </c:numCache>
            </c:numRef>
          </c:yVal>
          <c:smooth val="0"/>
          <c:extLst>
            <c:ext xmlns:c16="http://schemas.microsoft.com/office/drawing/2014/chart" uri="{C3380CC4-5D6E-409C-BE32-E72D297353CC}">
              <c16:uniqueId val="{00000005-0F8B-D144-8723-9380D6498029}"/>
            </c:ext>
          </c:extLst>
        </c:ser>
        <c:ser>
          <c:idx val="3"/>
          <c:order val="3"/>
          <c:tx>
            <c:strRef>
              <c:f>'Cost Curves L-PSH'!$O$2:$O$3</c:f>
              <c:strCache>
                <c:ptCount val="2"/>
                <c:pt idx="0">
                  <c:v>$/kW Average Conditions</c:v>
                </c:pt>
                <c:pt idx="1">
                  <c:v>6 Units</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olid"/>
              </a:ln>
              <a:effectLst/>
            </c:spPr>
            <c:trendlineType val="power"/>
            <c:dispRSqr val="0"/>
            <c:dispEq val="0"/>
          </c:trendline>
          <c:xVal>
            <c:numRef>
              <c:f>'Cost Curves L-PSH'!$K$4:$K$8</c:f>
              <c:numCache>
                <c:formatCode>General</c:formatCode>
                <c:ptCount val="5"/>
                <c:pt idx="0">
                  <c:v>500</c:v>
                </c:pt>
                <c:pt idx="1">
                  <c:v>1000</c:v>
                </c:pt>
                <c:pt idx="2">
                  <c:v>1500</c:v>
                </c:pt>
                <c:pt idx="3">
                  <c:v>2000</c:v>
                </c:pt>
                <c:pt idx="4">
                  <c:v>2250</c:v>
                </c:pt>
              </c:numCache>
            </c:numRef>
          </c:xVal>
          <c:yVal>
            <c:numRef>
              <c:f>'Cost Curves L-PSH'!$O$4:$O$8</c:f>
              <c:numCache>
                <c:formatCode>General</c:formatCode>
                <c:ptCount val="5"/>
                <c:pt idx="0">
                  <c:v>58</c:v>
                </c:pt>
                <c:pt idx="1">
                  <c:v>33</c:v>
                </c:pt>
                <c:pt idx="2">
                  <c:v>26</c:v>
                </c:pt>
                <c:pt idx="3">
                  <c:v>24</c:v>
                </c:pt>
                <c:pt idx="4">
                  <c:v>23</c:v>
                </c:pt>
              </c:numCache>
            </c:numRef>
          </c:yVal>
          <c:smooth val="0"/>
          <c:extLst>
            <c:ext xmlns:c16="http://schemas.microsoft.com/office/drawing/2014/chart" uri="{C3380CC4-5D6E-409C-BE32-E72D297353CC}">
              <c16:uniqueId val="{00000007-0F8B-D144-8723-9380D6498029}"/>
            </c:ext>
          </c:extLst>
        </c:ser>
        <c:ser>
          <c:idx val="4"/>
          <c:order val="4"/>
          <c:tx>
            <c:strRef>
              <c:f>'Cost Curves L-PSH'!$P$2:$P$3</c:f>
              <c:strCache>
                <c:ptCount val="2"/>
                <c:pt idx="0">
                  <c:v>$/kW Adverse Conditions</c:v>
                </c:pt>
                <c:pt idx="1">
                  <c:v>2 Units</c:v>
                </c:pt>
              </c:strCache>
            </c:strRef>
          </c:tx>
          <c:spPr>
            <a:ln w="25400" cap="rnd">
              <a:no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power"/>
            <c:dispRSqr val="0"/>
            <c:dispEq val="1"/>
            <c:trendlineLbl>
              <c:layout>
                <c:manualLayout>
                  <c:x val="-2.7020809529397061E-2"/>
                  <c:y val="-0.1752583896269936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L-PSH'!$K$4:$K$8</c:f>
              <c:numCache>
                <c:formatCode>General</c:formatCode>
                <c:ptCount val="5"/>
                <c:pt idx="0">
                  <c:v>500</c:v>
                </c:pt>
                <c:pt idx="1">
                  <c:v>1000</c:v>
                </c:pt>
                <c:pt idx="2">
                  <c:v>1500</c:v>
                </c:pt>
                <c:pt idx="3">
                  <c:v>2000</c:v>
                </c:pt>
                <c:pt idx="4">
                  <c:v>2250</c:v>
                </c:pt>
              </c:numCache>
            </c:numRef>
          </c:xVal>
          <c:yVal>
            <c:numRef>
              <c:f>'Cost Curves L-PSH'!$P$4:$P$8</c:f>
              <c:numCache>
                <c:formatCode>General</c:formatCode>
                <c:ptCount val="5"/>
                <c:pt idx="0">
                  <c:v>98</c:v>
                </c:pt>
                <c:pt idx="1">
                  <c:v>62</c:v>
                </c:pt>
                <c:pt idx="2">
                  <c:v>53</c:v>
                </c:pt>
                <c:pt idx="3">
                  <c:v>45</c:v>
                </c:pt>
                <c:pt idx="4">
                  <c:v>44</c:v>
                </c:pt>
              </c:numCache>
            </c:numRef>
          </c:yVal>
          <c:smooth val="0"/>
          <c:extLst>
            <c:ext xmlns:c16="http://schemas.microsoft.com/office/drawing/2014/chart" uri="{C3380CC4-5D6E-409C-BE32-E72D297353CC}">
              <c16:uniqueId val="{00000009-0F8B-D144-8723-9380D6498029}"/>
            </c:ext>
          </c:extLst>
        </c:ser>
        <c:ser>
          <c:idx val="5"/>
          <c:order val="5"/>
          <c:tx>
            <c:strRef>
              <c:f>'Cost Curves L-PSH'!$Q$2:$Q$3</c:f>
              <c:strCache>
                <c:ptCount val="2"/>
                <c:pt idx="0">
                  <c:v>$/kW Adverse Conditions</c:v>
                </c:pt>
                <c:pt idx="1">
                  <c:v>3 Units</c:v>
                </c:pt>
              </c:strCache>
            </c:strRef>
          </c:tx>
          <c:spPr>
            <a:ln w="25400" cap="rnd">
              <a:no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power"/>
            <c:dispRSqr val="0"/>
            <c:dispEq val="1"/>
            <c:trendlineLbl>
              <c:layout>
                <c:manualLayout>
                  <c:x val="-1.2221293937194037E-2"/>
                  <c:y val="-0.1598620475119259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L-PSH'!$K$4:$K$8</c:f>
              <c:numCache>
                <c:formatCode>General</c:formatCode>
                <c:ptCount val="5"/>
                <c:pt idx="0">
                  <c:v>500</c:v>
                </c:pt>
                <c:pt idx="1">
                  <c:v>1000</c:v>
                </c:pt>
                <c:pt idx="2">
                  <c:v>1500</c:v>
                </c:pt>
                <c:pt idx="3">
                  <c:v>2000</c:v>
                </c:pt>
                <c:pt idx="4">
                  <c:v>2250</c:v>
                </c:pt>
              </c:numCache>
            </c:numRef>
          </c:xVal>
          <c:yVal>
            <c:numRef>
              <c:f>'Cost Curves L-PSH'!$Q$4:$Q$8</c:f>
              <c:numCache>
                <c:formatCode>General</c:formatCode>
                <c:ptCount val="5"/>
                <c:pt idx="0">
                  <c:v>84</c:v>
                </c:pt>
                <c:pt idx="1">
                  <c:v>52</c:v>
                </c:pt>
                <c:pt idx="2">
                  <c:v>43</c:v>
                </c:pt>
                <c:pt idx="3">
                  <c:v>39</c:v>
                </c:pt>
                <c:pt idx="4">
                  <c:v>38</c:v>
                </c:pt>
              </c:numCache>
            </c:numRef>
          </c:yVal>
          <c:smooth val="0"/>
          <c:extLst>
            <c:ext xmlns:c16="http://schemas.microsoft.com/office/drawing/2014/chart" uri="{C3380CC4-5D6E-409C-BE32-E72D297353CC}">
              <c16:uniqueId val="{0000000B-0F8B-D144-8723-9380D6498029}"/>
            </c:ext>
          </c:extLst>
        </c:ser>
        <c:ser>
          <c:idx val="6"/>
          <c:order val="6"/>
          <c:tx>
            <c:strRef>
              <c:f>'Cost Curves L-PSH'!$R$2:$R$3</c:f>
              <c:strCache>
                <c:ptCount val="2"/>
                <c:pt idx="0">
                  <c:v>$/kW Adverse Conditions</c:v>
                </c:pt>
                <c:pt idx="1">
                  <c:v>4 Units</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trendline>
            <c:spPr>
              <a:ln w="19050" cap="rnd">
                <a:solidFill>
                  <a:schemeClr val="accent1">
                    <a:lumMod val="60000"/>
                  </a:schemeClr>
                </a:solidFill>
                <a:prstDash val="sysDot"/>
              </a:ln>
              <a:effectLst/>
            </c:spPr>
            <c:trendlineType val="power"/>
            <c:dispRSqr val="0"/>
            <c:dispEq val="1"/>
            <c:trendlineLbl>
              <c:layout>
                <c:manualLayout>
                  <c:x val="6.6136115209676244E-4"/>
                  <c:y val="-0.1383712583199141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L-PSH'!$K$4:$K$8</c:f>
              <c:numCache>
                <c:formatCode>General</c:formatCode>
                <c:ptCount val="5"/>
                <c:pt idx="0">
                  <c:v>500</c:v>
                </c:pt>
                <c:pt idx="1">
                  <c:v>1000</c:v>
                </c:pt>
                <c:pt idx="2">
                  <c:v>1500</c:v>
                </c:pt>
                <c:pt idx="3">
                  <c:v>2000</c:v>
                </c:pt>
                <c:pt idx="4">
                  <c:v>2250</c:v>
                </c:pt>
              </c:numCache>
            </c:numRef>
          </c:xVal>
          <c:yVal>
            <c:numRef>
              <c:f>'Cost Curves L-PSH'!$R$4:$R$8</c:f>
              <c:numCache>
                <c:formatCode>General</c:formatCode>
                <c:ptCount val="5"/>
                <c:pt idx="0">
                  <c:v>78</c:v>
                </c:pt>
                <c:pt idx="1">
                  <c:v>46</c:v>
                </c:pt>
                <c:pt idx="2">
                  <c:v>39</c:v>
                </c:pt>
                <c:pt idx="3">
                  <c:v>34.5</c:v>
                </c:pt>
                <c:pt idx="4">
                  <c:v>33.5</c:v>
                </c:pt>
              </c:numCache>
            </c:numRef>
          </c:yVal>
          <c:smooth val="0"/>
          <c:extLst>
            <c:ext xmlns:c16="http://schemas.microsoft.com/office/drawing/2014/chart" uri="{C3380CC4-5D6E-409C-BE32-E72D297353CC}">
              <c16:uniqueId val="{0000000D-0F8B-D144-8723-9380D6498029}"/>
            </c:ext>
          </c:extLst>
        </c:ser>
        <c:ser>
          <c:idx val="7"/>
          <c:order val="7"/>
          <c:tx>
            <c:strRef>
              <c:f>'Cost Curves L-PSH'!$S$2:$S$3</c:f>
              <c:strCache>
                <c:ptCount val="2"/>
                <c:pt idx="0">
                  <c:v>$/kW Adverse Conditions</c:v>
                </c:pt>
                <c:pt idx="1">
                  <c:v>6 Units</c:v>
                </c:pt>
              </c:strCache>
            </c:strRef>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trendline>
            <c:spPr>
              <a:ln w="19050" cap="rnd">
                <a:solidFill>
                  <a:schemeClr val="accent2">
                    <a:lumMod val="60000"/>
                  </a:schemeClr>
                </a:solidFill>
                <a:prstDash val="sysDot"/>
              </a:ln>
              <a:effectLst/>
            </c:spPr>
            <c:trendlineType val="power"/>
            <c:dispRSqr val="0"/>
            <c:dispEq val="1"/>
            <c:trendlineLbl>
              <c:layout>
                <c:manualLayout>
                  <c:x val="-4.4508035658757774E-3"/>
                  <c:y val="-0.1248295406154525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L-PSH'!$K$4:$K$8</c:f>
              <c:numCache>
                <c:formatCode>General</c:formatCode>
                <c:ptCount val="5"/>
                <c:pt idx="0">
                  <c:v>500</c:v>
                </c:pt>
                <c:pt idx="1">
                  <c:v>1000</c:v>
                </c:pt>
                <c:pt idx="2">
                  <c:v>1500</c:v>
                </c:pt>
                <c:pt idx="3">
                  <c:v>2000</c:v>
                </c:pt>
                <c:pt idx="4">
                  <c:v>2250</c:v>
                </c:pt>
              </c:numCache>
            </c:numRef>
          </c:xVal>
          <c:yVal>
            <c:numRef>
              <c:f>'Cost Curves L-PSH'!$S$4:$S$8</c:f>
              <c:numCache>
                <c:formatCode>General</c:formatCode>
                <c:ptCount val="5"/>
                <c:pt idx="0">
                  <c:v>70</c:v>
                </c:pt>
                <c:pt idx="1">
                  <c:v>42.25</c:v>
                </c:pt>
                <c:pt idx="2">
                  <c:v>34.5</c:v>
                </c:pt>
                <c:pt idx="3">
                  <c:v>26</c:v>
                </c:pt>
                <c:pt idx="4">
                  <c:v>25</c:v>
                </c:pt>
              </c:numCache>
            </c:numRef>
          </c:yVal>
          <c:smooth val="0"/>
          <c:extLst>
            <c:ext xmlns:c16="http://schemas.microsoft.com/office/drawing/2014/chart" uri="{C3380CC4-5D6E-409C-BE32-E72D297353CC}">
              <c16:uniqueId val="{0000000F-0F8B-D144-8723-9380D6498029}"/>
            </c:ext>
          </c:extLst>
        </c:ser>
        <c:dLbls>
          <c:showLegendKey val="0"/>
          <c:showVal val="0"/>
          <c:showCatName val="0"/>
          <c:showSerName val="0"/>
          <c:showPercent val="0"/>
          <c:showBubbleSize val="0"/>
        </c:dLbls>
        <c:axId val="94424896"/>
        <c:axId val="1892068159"/>
      </c:scatterChart>
      <c:valAx>
        <c:axId val="9442489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2068159"/>
        <c:crosses val="autoZero"/>
        <c:crossBetween val="midCat"/>
      </c:valAx>
      <c:valAx>
        <c:axId val="18920681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424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Surface Powestation Structure Cost $/kW</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L-PSH'!$V$2:$V$3</c:f>
              <c:strCache>
                <c:ptCount val="2"/>
                <c:pt idx="0">
                  <c:v>$/kW Average Conditions</c:v>
                </c:pt>
                <c:pt idx="1">
                  <c:v>2 Units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olid"/>
              </a:ln>
              <a:effectLst/>
            </c:spPr>
            <c:trendlineType val="poly"/>
            <c:order val="2"/>
            <c:dispRSqr val="0"/>
            <c:dispEq val="1"/>
            <c:trendlineLbl>
              <c:layout>
                <c:manualLayout>
                  <c:x val="-9.8334950654457007E-2"/>
                  <c:y val="9.0674234664883183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L-PSH'!$U$5:$U$9</c:f>
              <c:numCache>
                <c:formatCode>General</c:formatCode>
                <c:ptCount val="5"/>
                <c:pt idx="0">
                  <c:v>500</c:v>
                </c:pt>
                <c:pt idx="1">
                  <c:v>1000</c:v>
                </c:pt>
                <c:pt idx="2">
                  <c:v>1500</c:v>
                </c:pt>
                <c:pt idx="3">
                  <c:v>2000</c:v>
                </c:pt>
                <c:pt idx="4">
                  <c:v>2250</c:v>
                </c:pt>
              </c:numCache>
            </c:numRef>
          </c:xVal>
          <c:yVal>
            <c:numRef>
              <c:f>'Cost Curves L-PSH'!$V$5:$V$9</c:f>
              <c:numCache>
                <c:formatCode>General</c:formatCode>
                <c:ptCount val="5"/>
                <c:pt idx="0">
                  <c:v>84</c:v>
                </c:pt>
                <c:pt idx="1">
                  <c:v>87</c:v>
                </c:pt>
                <c:pt idx="2">
                  <c:v>92.5</c:v>
                </c:pt>
                <c:pt idx="3">
                  <c:v>102</c:v>
                </c:pt>
                <c:pt idx="4">
                  <c:v>105.5</c:v>
                </c:pt>
              </c:numCache>
            </c:numRef>
          </c:yVal>
          <c:smooth val="0"/>
          <c:extLst>
            <c:ext xmlns:c16="http://schemas.microsoft.com/office/drawing/2014/chart" uri="{C3380CC4-5D6E-409C-BE32-E72D297353CC}">
              <c16:uniqueId val="{00000001-EA3F-A648-AA15-520E34222DDD}"/>
            </c:ext>
          </c:extLst>
        </c:ser>
        <c:ser>
          <c:idx val="1"/>
          <c:order val="1"/>
          <c:tx>
            <c:strRef>
              <c:f>'Cost Curves L-PSH'!$W$2:$W$3</c:f>
              <c:strCache>
                <c:ptCount val="2"/>
                <c:pt idx="0">
                  <c:v>$/kW Average Conditions</c:v>
                </c:pt>
                <c:pt idx="1">
                  <c:v>3 Units</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olid"/>
              </a:ln>
              <a:effectLst/>
            </c:spPr>
            <c:trendlineType val="poly"/>
            <c:order val="2"/>
            <c:dispRSqr val="0"/>
            <c:dispEq val="1"/>
            <c:trendlineLbl>
              <c:layout>
                <c:manualLayout>
                  <c:x val="-9.6466407002411977E-2"/>
                  <c:y val="0.1043358532984782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L-PSH'!$U$5:$U$9</c:f>
              <c:numCache>
                <c:formatCode>General</c:formatCode>
                <c:ptCount val="5"/>
                <c:pt idx="0">
                  <c:v>500</c:v>
                </c:pt>
                <c:pt idx="1">
                  <c:v>1000</c:v>
                </c:pt>
                <c:pt idx="2">
                  <c:v>1500</c:v>
                </c:pt>
                <c:pt idx="3">
                  <c:v>2000</c:v>
                </c:pt>
                <c:pt idx="4">
                  <c:v>2250</c:v>
                </c:pt>
              </c:numCache>
            </c:numRef>
          </c:xVal>
          <c:yVal>
            <c:numRef>
              <c:f>'Cost Curves L-PSH'!$W$5:$W$9</c:f>
              <c:numCache>
                <c:formatCode>General</c:formatCode>
                <c:ptCount val="5"/>
                <c:pt idx="0">
                  <c:v>77.25</c:v>
                </c:pt>
                <c:pt idx="1">
                  <c:v>80</c:v>
                </c:pt>
                <c:pt idx="2">
                  <c:v>86</c:v>
                </c:pt>
                <c:pt idx="3">
                  <c:v>95</c:v>
                </c:pt>
                <c:pt idx="4">
                  <c:v>98</c:v>
                </c:pt>
              </c:numCache>
            </c:numRef>
          </c:yVal>
          <c:smooth val="0"/>
          <c:extLst>
            <c:ext xmlns:c16="http://schemas.microsoft.com/office/drawing/2014/chart" uri="{C3380CC4-5D6E-409C-BE32-E72D297353CC}">
              <c16:uniqueId val="{00000003-EA3F-A648-AA15-520E34222DDD}"/>
            </c:ext>
          </c:extLst>
        </c:ser>
        <c:ser>
          <c:idx val="2"/>
          <c:order val="2"/>
          <c:tx>
            <c:strRef>
              <c:f>'Cost Curves L-PSH'!$X$2:$X$3</c:f>
              <c:strCache>
                <c:ptCount val="2"/>
                <c:pt idx="0">
                  <c:v>$/kW Average Conditions</c:v>
                </c:pt>
                <c:pt idx="1">
                  <c:v>4 Units</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olid"/>
              </a:ln>
              <a:effectLst/>
            </c:spPr>
            <c:trendlineType val="poly"/>
            <c:order val="2"/>
            <c:dispRSqr val="0"/>
            <c:dispEq val="1"/>
            <c:trendlineLbl>
              <c:layout>
                <c:manualLayout>
                  <c:x val="-9.1312083722444162E-2"/>
                  <c:y val="0.1315630069029131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L-PSH'!$U$5:$U$9</c:f>
              <c:numCache>
                <c:formatCode>General</c:formatCode>
                <c:ptCount val="5"/>
                <c:pt idx="0">
                  <c:v>500</c:v>
                </c:pt>
                <c:pt idx="1">
                  <c:v>1000</c:v>
                </c:pt>
                <c:pt idx="2">
                  <c:v>1500</c:v>
                </c:pt>
                <c:pt idx="3">
                  <c:v>2000</c:v>
                </c:pt>
                <c:pt idx="4">
                  <c:v>2250</c:v>
                </c:pt>
              </c:numCache>
            </c:numRef>
          </c:xVal>
          <c:yVal>
            <c:numRef>
              <c:f>'Cost Curves L-PSH'!$X$5:$X$9</c:f>
              <c:numCache>
                <c:formatCode>General</c:formatCode>
                <c:ptCount val="5"/>
                <c:pt idx="0">
                  <c:v>74</c:v>
                </c:pt>
                <c:pt idx="1">
                  <c:v>76</c:v>
                </c:pt>
                <c:pt idx="2">
                  <c:v>84</c:v>
                </c:pt>
                <c:pt idx="3">
                  <c:v>92</c:v>
                </c:pt>
                <c:pt idx="4">
                  <c:v>95</c:v>
                </c:pt>
              </c:numCache>
            </c:numRef>
          </c:yVal>
          <c:smooth val="0"/>
          <c:extLst>
            <c:ext xmlns:c16="http://schemas.microsoft.com/office/drawing/2014/chart" uri="{C3380CC4-5D6E-409C-BE32-E72D297353CC}">
              <c16:uniqueId val="{00000005-EA3F-A648-AA15-520E34222DDD}"/>
            </c:ext>
          </c:extLst>
        </c:ser>
        <c:ser>
          <c:idx val="3"/>
          <c:order val="3"/>
          <c:tx>
            <c:strRef>
              <c:f>'Cost Curves L-PSH'!$Y$2:$Y$3</c:f>
              <c:strCache>
                <c:ptCount val="2"/>
                <c:pt idx="0">
                  <c:v>$/kW Average Conditions</c:v>
                </c:pt>
                <c:pt idx="1">
                  <c:v>6 Units</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olid"/>
              </a:ln>
              <a:effectLst/>
            </c:spPr>
            <c:trendlineType val="poly"/>
            <c:order val="2"/>
            <c:dispRSqr val="0"/>
            <c:dispEq val="1"/>
            <c:trendlineLbl>
              <c:layout>
                <c:manualLayout>
                  <c:x val="-8.8734922082460241E-2"/>
                  <c:y val="0.1489102962924517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L-PSH'!$U$5:$U$9</c:f>
              <c:numCache>
                <c:formatCode>General</c:formatCode>
                <c:ptCount val="5"/>
                <c:pt idx="0">
                  <c:v>500</c:v>
                </c:pt>
                <c:pt idx="1">
                  <c:v>1000</c:v>
                </c:pt>
                <c:pt idx="2">
                  <c:v>1500</c:v>
                </c:pt>
                <c:pt idx="3">
                  <c:v>2000</c:v>
                </c:pt>
                <c:pt idx="4">
                  <c:v>2250</c:v>
                </c:pt>
              </c:numCache>
            </c:numRef>
          </c:xVal>
          <c:yVal>
            <c:numRef>
              <c:f>'Cost Curves L-PSH'!$Y$5:$Y$9</c:f>
              <c:numCache>
                <c:formatCode>General</c:formatCode>
                <c:ptCount val="5"/>
                <c:pt idx="0">
                  <c:v>68</c:v>
                </c:pt>
                <c:pt idx="1">
                  <c:v>74</c:v>
                </c:pt>
                <c:pt idx="2">
                  <c:v>80</c:v>
                </c:pt>
                <c:pt idx="3">
                  <c:v>87</c:v>
                </c:pt>
                <c:pt idx="4">
                  <c:v>90</c:v>
                </c:pt>
              </c:numCache>
            </c:numRef>
          </c:yVal>
          <c:smooth val="0"/>
          <c:extLst>
            <c:ext xmlns:c16="http://schemas.microsoft.com/office/drawing/2014/chart" uri="{C3380CC4-5D6E-409C-BE32-E72D297353CC}">
              <c16:uniqueId val="{00000007-EA3F-A648-AA15-520E34222DDD}"/>
            </c:ext>
          </c:extLst>
        </c:ser>
        <c:ser>
          <c:idx val="4"/>
          <c:order val="4"/>
          <c:tx>
            <c:strRef>
              <c:f>'Cost Curves L-PSH'!$Z$2:$Z$3</c:f>
              <c:strCache>
                <c:ptCount val="2"/>
                <c:pt idx="0">
                  <c:v>$/kW Adverse Conditions</c:v>
                </c:pt>
                <c:pt idx="1">
                  <c:v>2 Units</c:v>
                </c:pt>
              </c:strCache>
            </c:strRef>
          </c:tx>
          <c:spPr>
            <a:ln w="25400" cap="rnd">
              <a:no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poly"/>
            <c:order val="2"/>
            <c:dispRSqr val="0"/>
            <c:dispEq val="1"/>
            <c:trendlineLbl>
              <c:layout>
                <c:manualLayout>
                  <c:x val="-0.2485189437614628"/>
                  <c:y val="-3.6904338776869758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L-PSH'!$U$5:$U$9</c:f>
              <c:numCache>
                <c:formatCode>General</c:formatCode>
                <c:ptCount val="5"/>
                <c:pt idx="0">
                  <c:v>500</c:v>
                </c:pt>
                <c:pt idx="1">
                  <c:v>1000</c:v>
                </c:pt>
                <c:pt idx="2">
                  <c:v>1500</c:v>
                </c:pt>
                <c:pt idx="3">
                  <c:v>2000</c:v>
                </c:pt>
                <c:pt idx="4">
                  <c:v>2250</c:v>
                </c:pt>
              </c:numCache>
            </c:numRef>
          </c:xVal>
          <c:yVal>
            <c:numRef>
              <c:f>'Cost Curves L-PSH'!$Z$5:$Z$9</c:f>
              <c:numCache>
                <c:formatCode>General</c:formatCode>
                <c:ptCount val="5"/>
                <c:pt idx="0">
                  <c:v>113.5</c:v>
                </c:pt>
                <c:pt idx="1">
                  <c:v>118</c:v>
                </c:pt>
                <c:pt idx="2">
                  <c:v>125</c:v>
                </c:pt>
                <c:pt idx="3">
                  <c:v>134</c:v>
                </c:pt>
                <c:pt idx="4">
                  <c:v>137</c:v>
                </c:pt>
              </c:numCache>
            </c:numRef>
          </c:yVal>
          <c:smooth val="0"/>
          <c:extLst>
            <c:ext xmlns:c16="http://schemas.microsoft.com/office/drawing/2014/chart" uri="{C3380CC4-5D6E-409C-BE32-E72D297353CC}">
              <c16:uniqueId val="{00000009-EA3F-A648-AA15-520E34222DDD}"/>
            </c:ext>
          </c:extLst>
        </c:ser>
        <c:ser>
          <c:idx val="5"/>
          <c:order val="5"/>
          <c:tx>
            <c:strRef>
              <c:f>'Cost Curves L-PSH'!$AA$2:$AA$3</c:f>
              <c:strCache>
                <c:ptCount val="2"/>
                <c:pt idx="0">
                  <c:v>$/kW Adverse Conditions</c:v>
                </c:pt>
                <c:pt idx="1">
                  <c:v>3 Units</c:v>
                </c:pt>
              </c:strCache>
            </c:strRef>
          </c:tx>
          <c:spPr>
            <a:ln w="25400" cap="rnd">
              <a:no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poly"/>
            <c:order val="2"/>
            <c:dispRSqr val="0"/>
            <c:dispEq val="1"/>
            <c:trendlineLbl>
              <c:layout>
                <c:manualLayout>
                  <c:x val="-0.2485189437614628"/>
                  <c:y val="-5.67452045218778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L-PSH'!$U$5:$U$9</c:f>
              <c:numCache>
                <c:formatCode>General</c:formatCode>
                <c:ptCount val="5"/>
                <c:pt idx="0">
                  <c:v>500</c:v>
                </c:pt>
                <c:pt idx="1">
                  <c:v>1000</c:v>
                </c:pt>
                <c:pt idx="2">
                  <c:v>1500</c:v>
                </c:pt>
                <c:pt idx="3">
                  <c:v>2000</c:v>
                </c:pt>
                <c:pt idx="4">
                  <c:v>2250</c:v>
                </c:pt>
              </c:numCache>
            </c:numRef>
          </c:xVal>
          <c:yVal>
            <c:numRef>
              <c:f>'Cost Curves L-PSH'!$AA$5:$AA$9</c:f>
              <c:numCache>
                <c:formatCode>General</c:formatCode>
                <c:ptCount val="5"/>
                <c:pt idx="0">
                  <c:v>96</c:v>
                </c:pt>
                <c:pt idx="1">
                  <c:v>102</c:v>
                </c:pt>
                <c:pt idx="2">
                  <c:v>108</c:v>
                </c:pt>
                <c:pt idx="3">
                  <c:v>116</c:v>
                </c:pt>
                <c:pt idx="4">
                  <c:v>119</c:v>
                </c:pt>
              </c:numCache>
            </c:numRef>
          </c:yVal>
          <c:smooth val="0"/>
          <c:extLst>
            <c:ext xmlns:c16="http://schemas.microsoft.com/office/drawing/2014/chart" uri="{C3380CC4-5D6E-409C-BE32-E72D297353CC}">
              <c16:uniqueId val="{0000000B-EA3F-A648-AA15-520E34222DDD}"/>
            </c:ext>
          </c:extLst>
        </c:ser>
        <c:ser>
          <c:idx val="6"/>
          <c:order val="6"/>
          <c:tx>
            <c:strRef>
              <c:f>'Cost Curves L-PSH'!$AB$2:$AB$3</c:f>
              <c:strCache>
                <c:ptCount val="2"/>
                <c:pt idx="0">
                  <c:v>$/kW Adverse Conditions</c:v>
                </c:pt>
                <c:pt idx="1">
                  <c:v>4 Units</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trendline>
            <c:spPr>
              <a:ln w="19050" cap="rnd">
                <a:solidFill>
                  <a:schemeClr val="accent1">
                    <a:lumMod val="60000"/>
                  </a:schemeClr>
                </a:solidFill>
                <a:prstDash val="sysDot"/>
              </a:ln>
              <a:effectLst/>
            </c:spPr>
            <c:trendlineType val="poly"/>
            <c:order val="2"/>
            <c:dispRSqr val="0"/>
            <c:dispEq val="1"/>
            <c:trendlineLbl>
              <c:layout>
                <c:manualLayout>
                  <c:x val="-0.24594178212147888"/>
                  <c:y val="-5.8293219088489605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L-PSH'!$U$5:$U$9</c:f>
              <c:numCache>
                <c:formatCode>General</c:formatCode>
                <c:ptCount val="5"/>
                <c:pt idx="0">
                  <c:v>500</c:v>
                </c:pt>
                <c:pt idx="1">
                  <c:v>1000</c:v>
                </c:pt>
                <c:pt idx="2">
                  <c:v>1500</c:v>
                </c:pt>
                <c:pt idx="3">
                  <c:v>2000</c:v>
                </c:pt>
                <c:pt idx="4">
                  <c:v>2250</c:v>
                </c:pt>
              </c:numCache>
            </c:numRef>
          </c:xVal>
          <c:yVal>
            <c:numRef>
              <c:f>'Cost Curves L-PSH'!$AB$5:$AB$9</c:f>
              <c:numCache>
                <c:formatCode>General</c:formatCode>
                <c:ptCount val="5"/>
                <c:pt idx="0">
                  <c:v>89</c:v>
                </c:pt>
                <c:pt idx="1">
                  <c:v>93</c:v>
                </c:pt>
                <c:pt idx="2">
                  <c:v>100</c:v>
                </c:pt>
                <c:pt idx="3">
                  <c:v>106</c:v>
                </c:pt>
                <c:pt idx="4">
                  <c:v>109.5</c:v>
                </c:pt>
              </c:numCache>
            </c:numRef>
          </c:yVal>
          <c:smooth val="0"/>
          <c:extLst>
            <c:ext xmlns:c16="http://schemas.microsoft.com/office/drawing/2014/chart" uri="{C3380CC4-5D6E-409C-BE32-E72D297353CC}">
              <c16:uniqueId val="{0000000D-EA3F-A648-AA15-520E34222DDD}"/>
            </c:ext>
          </c:extLst>
        </c:ser>
        <c:ser>
          <c:idx val="7"/>
          <c:order val="7"/>
          <c:tx>
            <c:strRef>
              <c:f>'Cost Curves L-PSH'!$AC$2:$AC$3</c:f>
              <c:strCache>
                <c:ptCount val="2"/>
                <c:pt idx="0">
                  <c:v>$/kW Adverse Conditions</c:v>
                </c:pt>
                <c:pt idx="1">
                  <c:v>6 Units</c:v>
                </c:pt>
              </c:strCache>
            </c:strRef>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trendline>
            <c:spPr>
              <a:ln w="19050" cap="rnd">
                <a:solidFill>
                  <a:schemeClr val="accent2">
                    <a:lumMod val="60000"/>
                  </a:schemeClr>
                </a:solidFill>
                <a:prstDash val="sysDot"/>
              </a:ln>
              <a:effectLst/>
            </c:spPr>
            <c:trendlineType val="poly"/>
            <c:order val="2"/>
            <c:dispRSqr val="0"/>
            <c:dispEq val="1"/>
            <c:trendlineLbl>
              <c:layout>
                <c:manualLayout>
                  <c:x val="-0.2414189649063638"/>
                  <c:y val="-5.475454812428266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L-PSH'!$U$5:$U$9</c:f>
              <c:numCache>
                <c:formatCode>General</c:formatCode>
                <c:ptCount val="5"/>
                <c:pt idx="0">
                  <c:v>500</c:v>
                </c:pt>
                <c:pt idx="1">
                  <c:v>1000</c:v>
                </c:pt>
                <c:pt idx="2">
                  <c:v>1500</c:v>
                </c:pt>
                <c:pt idx="3">
                  <c:v>2000</c:v>
                </c:pt>
                <c:pt idx="4">
                  <c:v>2250</c:v>
                </c:pt>
              </c:numCache>
            </c:numRef>
          </c:xVal>
          <c:yVal>
            <c:numRef>
              <c:f>'Cost Curves L-PSH'!$AC$5:$AC$9</c:f>
              <c:numCache>
                <c:formatCode>General</c:formatCode>
                <c:ptCount val="5"/>
                <c:pt idx="0">
                  <c:v>79.5</c:v>
                </c:pt>
                <c:pt idx="1">
                  <c:v>85</c:v>
                </c:pt>
                <c:pt idx="2">
                  <c:v>91.5</c:v>
                </c:pt>
                <c:pt idx="3">
                  <c:v>98</c:v>
                </c:pt>
                <c:pt idx="4">
                  <c:v>100</c:v>
                </c:pt>
              </c:numCache>
            </c:numRef>
          </c:yVal>
          <c:smooth val="0"/>
          <c:extLst>
            <c:ext xmlns:c16="http://schemas.microsoft.com/office/drawing/2014/chart" uri="{C3380CC4-5D6E-409C-BE32-E72D297353CC}">
              <c16:uniqueId val="{0000000F-EA3F-A648-AA15-520E34222DDD}"/>
            </c:ext>
          </c:extLst>
        </c:ser>
        <c:dLbls>
          <c:showLegendKey val="0"/>
          <c:showVal val="0"/>
          <c:showCatName val="0"/>
          <c:showSerName val="0"/>
          <c:showPercent val="0"/>
          <c:showBubbleSize val="0"/>
        </c:dLbls>
        <c:axId val="1875475503"/>
        <c:axId val="1887612559"/>
      </c:scatterChart>
      <c:valAx>
        <c:axId val="18754755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7612559"/>
        <c:crosses val="autoZero"/>
        <c:crossBetween val="midCat"/>
      </c:valAx>
      <c:valAx>
        <c:axId val="18876125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54755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Surface Powestation Structure Cost $/kW</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700948211793134"/>
          <c:y val="7.5661597052840229E-2"/>
          <c:w val="0.83087598845144439"/>
          <c:h val="0.50650638366565437"/>
        </c:manualLayout>
      </c:layout>
      <c:scatterChart>
        <c:scatterStyle val="lineMarker"/>
        <c:varyColors val="0"/>
        <c:ser>
          <c:idx val="0"/>
          <c:order val="0"/>
          <c:tx>
            <c:strRef>
              <c:f>'Cost Curves L-PSH'!$AF$2:$AF$3</c:f>
              <c:strCache>
                <c:ptCount val="2"/>
                <c:pt idx="0">
                  <c:v>$/kW Average Conditions</c:v>
                </c:pt>
                <c:pt idx="1">
                  <c:v>2 Units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olid"/>
              </a:ln>
              <a:effectLst/>
            </c:spPr>
            <c:trendlineType val="poly"/>
            <c:order val="2"/>
            <c:dispRSqr val="0"/>
            <c:dispEq val="1"/>
            <c:trendlineLbl>
              <c:layout>
                <c:manualLayout>
                  <c:x val="-0.34456718996586982"/>
                  <c:y val="5.3651944717935593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L-PSH'!$AE$4:$AE$9</c:f>
              <c:numCache>
                <c:formatCode>General</c:formatCode>
                <c:ptCount val="6"/>
                <c:pt idx="0">
                  <c:v>350</c:v>
                </c:pt>
                <c:pt idx="1">
                  <c:v>500</c:v>
                </c:pt>
                <c:pt idx="2">
                  <c:v>1000</c:v>
                </c:pt>
                <c:pt idx="3">
                  <c:v>1500</c:v>
                </c:pt>
                <c:pt idx="4">
                  <c:v>2000</c:v>
                </c:pt>
                <c:pt idx="5">
                  <c:v>2250</c:v>
                </c:pt>
              </c:numCache>
            </c:numRef>
          </c:xVal>
          <c:yVal>
            <c:numRef>
              <c:f>'Cost Curves L-PSH'!$AF$4:$AF$9</c:f>
              <c:numCache>
                <c:formatCode>General</c:formatCode>
                <c:ptCount val="6"/>
                <c:pt idx="0">
                  <c:v>38</c:v>
                </c:pt>
                <c:pt idx="1">
                  <c:v>36</c:v>
                </c:pt>
                <c:pt idx="2">
                  <c:v>31</c:v>
                </c:pt>
                <c:pt idx="3">
                  <c:v>30</c:v>
                </c:pt>
                <c:pt idx="4">
                  <c:v>32</c:v>
                </c:pt>
                <c:pt idx="5">
                  <c:v>33</c:v>
                </c:pt>
              </c:numCache>
            </c:numRef>
          </c:yVal>
          <c:smooth val="0"/>
          <c:extLst>
            <c:ext xmlns:c16="http://schemas.microsoft.com/office/drawing/2014/chart" uri="{C3380CC4-5D6E-409C-BE32-E72D297353CC}">
              <c16:uniqueId val="{00000001-26FE-BE40-8ACC-07FA8A9E50A9}"/>
            </c:ext>
          </c:extLst>
        </c:ser>
        <c:ser>
          <c:idx val="1"/>
          <c:order val="1"/>
          <c:tx>
            <c:strRef>
              <c:f>'Cost Curves L-PSH'!$AG$2:$AG$3</c:f>
              <c:strCache>
                <c:ptCount val="2"/>
                <c:pt idx="0">
                  <c:v>$/kW Average Conditions</c:v>
                </c:pt>
                <c:pt idx="1">
                  <c:v>3 Units</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olid"/>
              </a:ln>
              <a:effectLst/>
            </c:spPr>
            <c:trendlineType val="poly"/>
            <c:order val="2"/>
            <c:dispRSqr val="0"/>
            <c:dispEq val="1"/>
            <c:trendlineLbl>
              <c:layout>
                <c:manualLayout>
                  <c:x val="-0.34199002780291243"/>
                  <c:y val="6.725765782470508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L-PSH'!$AE$4:$AE$9</c:f>
              <c:numCache>
                <c:formatCode>General</c:formatCode>
                <c:ptCount val="6"/>
                <c:pt idx="0">
                  <c:v>350</c:v>
                </c:pt>
                <c:pt idx="1">
                  <c:v>500</c:v>
                </c:pt>
                <c:pt idx="2">
                  <c:v>1000</c:v>
                </c:pt>
                <c:pt idx="3">
                  <c:v>1500</c:v>
                </c:pt>
                <c:pt idx="4">
                  <c:v>2000</c:v>
                </c:pt>
                <c:pt idx="5">
                  <c:v>2250</c:v>
                </c:pt>
              </c:numCache>
            </c:numRef>
          </c:xVal>
          <c:yVal>
            <c:numRef>
              <c:f>'Cost Curves L-PSH'!$AG$4:$AG$9</c:f>
              <c:numCache>
                <c:formatCode>General</c:formatCode>
                <c:ptCount val="6"/>
                <c:pt idx="0">
                  <c:v>35</c:v>
                </c:pt>
                <c:pt idx="1">
                  <c:v>34</c:v>
                </c:pt>
                <c:pt idx="2">
                  <c:v>28</c:v>
                </c:pt>
                <c:pt idx="3">
                  <c:v>27</c:v>
                </c:pt>
                <c:pt idx="4">
                  <c:v>30</c:v>
                </c:pt>
                <c:pt idx="5">
                  <c:v>31</c:v>
                </c:pt>
              </c:numCache>
            </c:numRef>
          </c:yVal>
          <c:smooth val="0"/>
          <c:extLst>
            <c:ext xmlns:c16="http://schemas.microsoft.com/office/drawing/2014/chart" uri="{C3380CC4-5D6E-409C-BE32-E72D297353CC}">
              <c16:uniqueId val="{00000003-26FE-BE40-8ACC-07FA8A9E50A9}"/>
            </c:ext>
          </c:extLst>
        </c:ser>
        <c:ser>
          <c:idx val="2"/>
          <c:order val="2"/>
          <c:tx>
            <c:strRef>
              <c:f>'Cost Curves L-PSH'!$AH$2:$AH$3</c:f>
              <c:strCache>
                <c:ptCount val="2"/>
                <c:pt idx="0">
                  <c:v>$/kW Average Conditions</c:v>
                </c:pt>
                <c:pt idx="1">
                  <c:v>4 Units</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olid"/>
              </a:ln>
              <a:effectLst/>
            </c:spPr>
            <c:trendlineType val="poly"/>
            <c:order val="2"/>
            <c:dispRSqr val="0"/>
            <c:dispEq val="1"/>
            <c:trendlineLbl>
              <c:layout>
                <c:manualLayout>
                  <c:x val="-0.34199002780291243"/>
                  <c:y val="8.335972123925006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L-PSH'!$AE$4:$AE$9</c:f>
              <c:numCache>
                <c:formatCode>General</c:formatCode>
                <c:ptCount val="6"/>
                <c:pt idx="0">
                  <c:v>350</c:v>
                </c:pt>
                <c:pt idx="1">
                  <c:v>500</c:v>
                </c:pt>
                <c:pt idx="2">
                  <c:v>1000</c:v>
                </c:pt>
                <c:pt idx="3">
                  <c:v>1500</c:v>
                </c:pt>
                <c:pt idx="4">
                  <c:v>2000</c:v>
                </c:pt>
                <c:pt idx="5">
                  <c:v>2250</c:v>
                </c:pt>
              </c:numCache>
            </c:numRef>
          </c:xVal>
          <c:yVal>
            <c:numRef>
              <c:f>'Cost Curves L-PSH'!$AH$4:$AH$9</c:f>
              <c:numCache>
                <c:formatCode>General</c:formatCode>
                <c:ptCount val="6"/>
                <c:pt idx="0">
                  <c:v>32</c:v>
                </c:pt>
                <c:pt idx="1">
                  <c:v>30</c:v>
                </c:pt>
                <c:pt idx="2">
                  <c:v>26</c:v>
                </c:pt>
                <c:pt idx="3">
                  <c:v>26</c:v>
                </c:pt>
                <c:pt idx="4">
                  <c:v>29</c:v>
                </c:pt>
                <c:pt idx="5">
                  <c:v>30</c:v>
                </c:pt>
              </c:numCache>
            </c:numRef>
          </c:yVal>
          <c:smooth val="0"/>
          <c:extLst>
            <c:ext xmlns:c16="http://schemas.microsoft.com/office/drawing/2014/chart" uri="{C3380CC4-5D6E-409C-BE32-E72D297353CC}">
              <c16:uniqueId val="{00000005-26FE-BE40-8ACC-07FA8A9E50A9}"/>
            </c:ext>
          </c:extLst>
        </c:ser>
        <c:ser>
          <c:idx val="3"/>
          <c:order val="3"/>
          <c:tx>
            <c:strRef>
              <c:f>'Cost Curves L-PSH'!$AI$2:$AI$3</c:f>
              <c:strCache>
                <c:ptCount val="2"/>
                <c:pt idx="0">
                  <c:v>$/kW Average Conditions</c:v>
                </c:pt>
                <c:pt idx="1">
                  <c:v>6 Units</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olid"/>
              </a:ln>
              <a:effectLst/>
            </c:spPr>
            <c:trendlineType val="poly"/>
            <c:order val="2"/>
            <c:dispRSqr val="0"/>
            <c:dispEq val="1"/>
            <c:trendlineLbl>
              <c:layout>
                <c:manualLayout>
                  <c:x val="-0.34199002780291243"/>
                  <c:y val="9.5539181633234008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L-PSH'!$AE$4:$AE$9</c:f>
              <c:numCache>
                <c:formatCode>General</c:formatCode>
                <c:ptCount val="6"/>
                <c:pt idx="0">
                  <c:v>350</c:v>
                </c:pt>
                <c:pt idx="1">
                  <c:v>500</c:v>
                </c:pt>
                <c:pt idx="2">
                  <c:v>1000</c:v>
                </c:pt>
                <c:pt idx="3">
                  <c:v>1500</c:v>
                </c:pt>
                <c:pt idx="4">
                  <c:v>2000</c:v>
                </c:pt>
                <c:pt idx="5">
                  <c:v>2250</c:v>
                </c:pt>
              </c:numCache>
            </c:numRef>
          </c:xVal>
          <c:yVal>
            <c:numRef>
              <c:f>'Cost Curves L-PSH'!$AI$4:$AI$9</c:f>
              <c:numCache>
                <c:formatCode>General</c:formatCode>
                <c:ptCount val="6"/>
                <c:pt idx="0">
                  <c:v>30</c:v>
                </c:pt>
                <c:pt idx="1">
                  <c:v>28</c:v>
                </c:pt>
                <c:pt idx="2">
                  <c:v>25</c:v>
                </c:pt>
                <c:pt idx="3">
                  <c:v>25.25</c:v>
                </c:pt>
                <c:pt idx="4">
                  <c:v>26</c:v>
                </c:pt>
                <c:pt idx="5">
                  <c:v>28</c:v>
                </c:pt>
              </c:numCache>
            </c:numRef>
          </c:yVal>
          <c:smooth val="0"/>
          <c:extLst>
            <c:ext xmlns:c16="http://schemas.microsoft.com/office/drawing/2014/chart" uri="{C3380CC4-5D6E-409C-BE32-E72D297353CC}">
              <c16:uniqueId val="{00000007-26FE-BE40-8ACC-07FA8A9E50A9}"/>
            </c:ext>
          </c:extLst>
        </c:ser>
        <c:ser>
          <c:idx val="4"/>
          <c:order val="4"/>
          <c:tx>
            <c:strRef>
              <c:f>'Cost Curves L-PSH'!$AJ$2:$AJ$3</c:f>
              <c:strCache>
                <c:ptCount val="2"/>
                <c:pt idx="0">
                  <c:v>$/kW Adverse Conditions</c:v>
                </c:pt>
                <c:pt idx="1">
                  <c:v>2 Units</c:v>
                </c:pt>
              </c:strCache>
            </c:strRef>
          </c:tx>
          <c:spPr>
            <a:ln w="25400" cap="rnd">
              <a:no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poly"/>
            <c:order val="2"/>
            <c:dispRSqr val="0"/>
            <c:dispEq val="1"/>
            <c:trendlineLbl>
              <c:layout>
                <c:manualLayout>
                  <c:x val="-0.12808556827744713"/>
                  <c:y val="-8.604688059042749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L-PSH'!$AE$4:$AE$9</c:f>
              <c:numCache>
                <c:formatCode>General</c:formatCode>
                <c:ptCount val="6"/>
                <c:pt idx="0">
                  <c:v>350</c:v>
                </c:pt>
                <c:pt idx="1">
                  <c:v>500</c:v>
                </c:pt>
                <c:pt idx="2">
                  <c:v>1000</c:v>
                </c:pt>
                <c:pt idx="3">
                  <c:v>1500</c:v>
                </c:pt>
                <c:pt idx="4">
                  <c:v>2000</c:v>
                </c:pt>
                <c:pt idx="5">
                  <c:v>2250</c:v>
                </c:pt>
              </c:numCache>
            </c:numRef>
          </c:xVal>
          <c:yVal>
            <c:numRef>
              <c:f>'Cost Curves L-PSH'!$AJ$4:$AJ$9</c:f>
              <c:numCache>
                <c:formatCode>General</c:formatCode>
                <c:ptCount val="6"/>
                <c:pt idx="0">
                  <c:v>58</c:v>
                </c:pt>
                <c:pt idx="1">
                  <c:v>54</c:v>
                </c:pt>
                <c:pt idx="2">
                  <c:v>45</c:v>
                </c:pt>
                <c:pt idx="3">
                  <c:v>44.5</c:v>
                </c:pt>
                <c:pt idx="4">
                  <c:v>46</c:v>
                </c:pt>
                <c:pt idx="5">
                  <c:v>48</c:v>
                </c:pt>
              </c:numCache>
            </c:numRef>
          </c:yVal>
          <c:smooth val="0"/>
          <c:extLst>
            <c:ext xmlns:c16="http://schemas.microsoft.com/office/drawing/2014/chart" uri="{C3380CC4-5D6E-409C-BE32-E72D297353CC}">
              <c16:uniqueId val="{00000009-26FE-BE40-8ACC-07FA8A9E50A9}"/>
            </c:ext>
          </c:extLst>
        </c:ser>
        <c:ser>
          <c:idx val="5"/>
          <c:order val="5"/>
          <c:tx>
            <c:strRef>
              <c:f>'Cost Curves L-PSH'!$AK$2:$AK$3</c:f>
              <c:strCache>
                <c:ptCount val="2"/>
                <c:pt idx="0">
                  <c:v>$/kW Adverse Conditions</c:v>
                </c:pt>
                <c:pt idx="1">
                  <c:v>3 Units</c:v>
                </c:pt>
              </c:strCache>
            </c:strRef>
          </c:tx>
          <c:spPr>
            <a:ln w="25400" cap="rnd">
              <a:no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poly"/>
            <c:order val="2"/>
            <c:dispRSqr val="0"/>
            <c:dispEq val="1"/>
            <c:trendlineLbl>
              <c:layout>
                <c:manualLayout>
                  <c:x val="-0.13066273044040455"/>
                  <c:y val="-8.845247826507081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L-PSH'!$AE$4:$AE$9</c:f>
              <c:numCache>
                <c:formatCode>General</c:formatCode>
                <c:ptCount val="6"/>
                <c:pt idx="0">
                  <c:v>350</c:v>
                </c:pt>
                <c:pt idx="1">
                  <c:v>500</c:v>
                </c:pt>
                <c:pt idx="2">
                  <c:v>1000</c:v>
                </c:pt>
                <c:pt idx="3">
                  <c:v>1500</c:v>
                </c:pt>
                <c:pt idx="4">
                  <c:v>2000</c:v>
                </c:pt>
                <c:pt idx="5">
                  <c:v>2250</c:v>
                </c:pt>
              </c:numCache>
            </c:numRef>
          </c:xVal>
          <c:yVal>
            <c:numRef>
              <c:f>'Cost Curves L-PSH'!$AK$4:$AK$9</c:f>
              <c:numCache>
                <c:formatCode>General</c:formatCode>
                <c:ptCount val="6"/>
                <c:pt idx="0">
                  <c:v>48.5</c:v>
                </c:pt>
                <c:pt idx="1">
                  <c:v>45</c:v>
                </c:pt>
                <c:pt idx="2">
                  <c:v>40</c:v>
                </c:pt>
                <c:pt idx="3">
                  <c:v>39</c:v>
                </c:pt>
                <c:pt idx="4">
                  <c:v>41</c:v>
                </c:pt>
                <c:pt idx="5">
                  <c:v>42</c:v>
                </c:pt>
              </c:numCache>
            </c:numRef>
          </c:yVal>
          <c:smooth val="0"/>
          <c:extLst>
            <c:ext xmlns:c16="http://schemas.microsoft.com/office/drawing/2014/chart" uri="{C3380CC4-5D6E-409C-BE32-E72D297353CC}">
              <c16:uniqueId val="{0000000B-26FE-BE40-8ACC-07FA8A9E50A9}"/>
            </c:ext>
          </c:extLst>
        </c:ser>
        <c:ser>
          <c:idx val="6"/>
          <c:order val="6"/>
          <c:tx>
            <c:strRef>
              <c:f>'Cost Curves L-PSH'!$AL$2:$AL$3</c:f>
              <c:strCache>
                <c:ptCount val="2"/>
                <c:pt idx="0">
                  <c:v>$/kW Adverse Conditions</c:v>
                </c:pt>
                <c:pt idx="1">
                  <c:v>4 Units</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trendline>
            <c:spPr>
              <a:ln w="19050" cap="rnd">
                <a:solidFill>
                  <a:schemeClr val="accent1">
                    <a:lumMod val="60000"/>
                  </a:schemeClr>
                </a:solidFill>
                <a:prstDash val="sysDot"/>
              </a:ln>
              <a:effectLst/>
            </c:spPr>
            <c:trendlineType val="poly"/>
            <c:order val="2"/>
            <c:dispRSqr val="0"/>
            <c:dispEq val="1"/>
            <c:trendlineLbl>
              <c:layout>
                <c:manualLayout>
                  <c:x val="-0.12293124395153231"/>
                  <c:y val="-7.4554104238866159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L-PSH'!$AE$4:$AE$9</c:f>
              <c:numCache>
                <c:formatCode>General</c:formatCode>
                <c:ptCount val="6"/>
                <c:pt idx="0">
                  <c:v>350</c:v>
                </c:pt>
                <c:pt idx="1">
                  <c:v>500</c:v>
                </c:pt>
                <c:pt idx="2">
                  <c:v>1000</c:v>
                </c:pt>
                <c:pt idx="3">
                  <c:v>1500</c:v>
                </c:pt>
                <c:pt idx="4">
                  <c:v>2000</c:v>
                </c:pt>
                <c:pt idx="5">
                  <c:v>2250</c:v>
                </c:pt>
              </c:numCache>
            </c:numRef>
          </c:xVal>
          <c:yVal>
            <c:numRef>
              <c:f>'Cost Curves L-PSH'!$AL$4:$AL$9</c:f>
              <c:numCache>
                <c:formatCode>General</c:formatCode>
                <c:ptCount val="6"/>
                <c:pt idx="0">
                  <c:v>45</c:v>
                </c:pt>
                <c:pt idx="1">
                  <c:v>42</c:v>
                </c:pt>
                <c:pt idx="2">
                  <c:v>37</c:v>
                </c:pt>
                <c:pt idx="3">
                  <c:v>36</c:v>
                </c:pt>
                <c:pt idx="4">
                  <c:v>38</c:v>
                </c:pt>
                <c:pt idx="5">
                  <c:v>39.5</c:v>
                </c:pt>
              </c:numCache>
            </c:numRef>
          </c:yVal>
          <c:smooth val="0"/>
          <c:extLst>
            <c:ext xmlns:c16="http://schemas.microsoft.com/office/drawing/2014/chart" uri="{C3380CC4-5D6E-409C-BE32-E72D297353CC}">
              <c16:uniqueId val="{0000000D-26FE-BE40-8ACC-07FA8A9E50A9}"/>
            </c:ext>
          </c:extLst>
        </c:ser>
        <c:ser>
          <c:idx val="7"/>
          <c:order val="7"/>
          <c:tx>
            <c:strRef>
              <c:f>'Cost Curves L-PSH'!$AM$2:$AM$3</c:f>
              <c:strCache>
                <c:ptCount val="2"/>
                <c:pt idx="0">
                  <c:v>$/kW Adverse Conditions</c:v>
                </c:pt>
                <c:pt idx="1">
                  <c:v>6 Units</c:v>
                </c:pt>
              </c:strCache>
            </c:strRef>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trendline>
            <c:spPr>
              <a:ln w="19050" cap="rnd">
                <a:solidFill>
                  <a:schemeClr val="accent2">
                    <a:lumMod val="60000"/>
                  </a:schemeClr>
                </a:solidFill>
                <a:prstDash val="sysDot"/>
              </a:ln>
              <a:effectLst/>
            </c:spPr>
            <c:trendlineType val="poly"/>
            <c:order val="2"/>
            <c:dispRSqr val="0"/>
            <c:dispEq val="1"/>
            <c:trendlineLbl>
              <c:layout>
                <c:manualLayout>
                  <c:x val="-0.12808556827744713"/>
                  <c:y val="-7.2497643043125129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L-PSH'!$AE$4:$AE$9</c:f>
              <c:numCache>
                <c:formatCode>General</c:formatCode>
                <c:ptCount val="6"/>
                <c:pt idx="0">
                  <c:v>350</c:v>
                </c:pt>
                <c:pt idx="1">
                  <c:v>500</c:v>
                </c:pt>
                <c:pt idx="2">
                  <c:v>1000</c:v>
                </c:pt>
                <c:pt idx="3">
                  <c:v>1500</c:v>
                </c:pt>
                <c:pt idx="4">
                  <c:v>2000</c:v>
                </c:pt>
                <c:pt idx="5">
                  <c:v>2250</c:v>
                </c:pt>
              </c:numCache>
            </c:numRef>
          </c:xVal>
          <c:yVal>
            <c:numRef>
              <c:f>'Cost Curves L-PSH'!$AM$4:$AM$9</c:f>
              <c:numCache>
                <c:formatCode>General</c:formatCode>
                <c:ptCount val="6"/>
                <c:pt idx="0">
                  <c:v>39</c:v>
                </c:pt>
                <c:pt idx="1">
                  <c:v>37</c:v>
                </c:pt>
                <c:pt idx="2">
                  <c:v>34</c:v>
                </c:pt>
                <c:pt idx="3">
                  <c:v>32</c:v>
                </c:pt>
                <c:pt idx="4">
                  <c:v>34</c:v>
                </c:pt>
                <c:pt idx="5">
                  <c:v>35</c:v>
                </c:pt>
              </c:numCache>
            </c:numRef>
          </c:yVal>
          <c:smooth val="0"/>
          <c:extLst>
            <c:ext xmlns:c16="http://schemas.microsoft.com/office/drawing/2014/chart" uri="{C3380CC4-5D6E-409C-BE32-E72D297353CC}">
              <c16:uniqueId val="{0000000F-26FE-BE40-8ACC-07FA8A9E50A9}"/>
            </c:ext>
          </c:extLst>
        </c:ser>
        <c:dLbls>
          <c:showLegendKey val="0"/>
          <c:showVal val="0"/>
          <c:showCatName val="0"/>
          <c:showSerName val="0"/>
          <c:showPercent val="0"/>
          <c:showBubbleSize val="0"/>
        </c:dLbls>
        <c:axId val="1783563711"/>
        <c:axId val="1783387647"/>
      </c:scatterChart>
      <c:valAx>
        <c:axId val="178356371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Head Height in</a:t>
                </a:r>
                <a:r>
                  <a:rPr lang="en-US" baseline="0"/>
                  <a:t> ft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3387647"/>
        <c:crosses val="autoZero"/>
        <c:crossBetween val="midCat"/>
      </c:valAx>
      <c:valAx>
        <c:axId val="178338764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3563711"/>
        <c:crosses val="autoZero"/>
        <c:crossBetween val="midCat"/>
      </c:valAx>
      <c:spPr>
        <a:noFill/>
        <a:ln>
          <a:noFill/>
        </a:ln>
        <a:effectLst/>
      </c:spPr>
    </c:plotArea>
    <c:legend>
      <c:legendPos val="b"/>
      <c:layout>
        <c:manualLayout>
          <c:xMode val="edge"/>
          <c:yMode val="edge"/>
          <c:x val="0"/>
          <c:y val="0.67351467435956536"/>
          <c:w val="0.97532926600433101"/>
          <c:h val="0.3142456496545343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Underground Powestation Structure Cost $/kW</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L-PSH'!$B$44:$B$45</c:f>
              <c:strCache>
                <c:ptCount val="2"/>
                <c:pt idx="0">
                  <c:v>$/kW Average Conditions</c:v>
                </c:pt>
                <c:pt idx="1">
                  <c:v>2 Units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olid"/>
              </a:ln>
              <a:effectLst/>
            </c:spPr>
            <c:trendlineType val="power"/>
            <c:dispRSqr val="0"/>
            <c:dispEq val="1"/>
            <c:trendlineLbl>
              <c:layout>
                <c:manualLayout>
                  <c:x val="-3.0113928720469311E-2"/>
                  <c:y val="-0.2041866398111228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L-PSH'!$A$46:$A$51</c:f>
              <c:numCache>
                <c:formatCode>General</c:formatCode>
                <c:ptCount val="6"/>
                <c:pt idx="0">
                  <c:v>350</c:v>
                </c:pt>
                <c:pt idx="1">
                  <c:v>500</c:v>
                </c:pt>
                <c:pt idx="2">
                  <c:v>1000</c:v>
                </c:pt>
                <c:pt idx="3">
                  <c:v>1500</c:v>
                </c:pt>
                <c:pt idx="4">
                  <c:v>2000</c:v>
                </c:pt>
                <c:pt idx="5">
                  <c:v>2250</c:v>
                </c:pt>
              </c:numCache>
            </c:numRef>
          </c:xVal>
          <c:yVal>
            <c:numRef>
              <c:f>'Cost Curves L-PSH'!$B$46:$B$51</c:f>
              <c:numCache>
                <c:formatCode>General</c:formatCode>
                <c:ptCount val="6"/>
                <c:pt idx="0">
                  <c:v>123</c:v>
                </c:pt>
                <c:pt idx="1">
                  <c:v>95</c:v>
                </c:pt>
                <c:pt idx="2">
                  <c:v>69</c:v>
                </c:pt>
                <c:pt idx="3">
                  <c:v>63</c:v>
                </c:pt>
                <c:pt idx="4">
                  <c:v>58</c:v>
                </c:pt>
                <c:pt idx="5">
                  <c:v>56</c:v>
                </c:pt>
              </c:numCache>
            </c:numRef>
          </c:yVal>
          <c:smooth val="0"/>
          <c:extLst>
            <c:ext xmlns:c16="http://schemas.microsoft.com/office/drawing/2014/chart" uri="{C3380CC4-5D6E-409C-BE32-E72D297353CC}">
              <c16:uniqueId val="{00000001-8356-AA43-98F4-F9A1DB20E442}"/>
            </c:ext>
          </c:extLst>
        </c:ser>
        <c:ser>
          <c:idx val="1"/>
          <c:order val="1"/>
          <c:tx>
            <c:strRef>
              <c:f>'Cost Curves L-PSH'!$C$44:$C$45</c:f>
              <c:strCache>
                <c:ptCount val="2"/>
                <c:pt idx="0">
                  <c:v>$/kW Average Conditions</c:v>
                </c:pt>
                <c:pt idx="1">
                  <c:v>3 Units</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olid"/>
              </a:ln>
              <a:effectLst/>
            </c:spPr>
            <c:trendlineType val="power"/>
            <c:dispRSqr val="0"/>
            <c:dispEq val="1"/>
            <c:trendlineLbl>
              <c:layout>
                <c:manualLayout>
                  <c:x val="-3.2907755112097335E-2"/>
                  <c:y val="-0.1883235018101173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L-PSH'!$A$46:$A$51</c:f>
              <c:numCache>
                <c:formatCode>General</c:formatCode>
                <c:ptCount val="6"/>
                <c:pt idx="0">
                  <c:v>350</c:v>
                </c:pt>
                <c:pt idx="1">
                  <c:v>500</c:v>
                </c:pt>
                <c:pt idx="2">
                  <c:v>1000</c:v>
                </c:pt>
                <c:pt idx="3">
                  <c:v>1500</c:v>
                </c:pt>
                <c:pt idx="4">
                  <c:v>2000</c:v>
                </c:pt>
                <c:pt idx="5">
                  <c:v>2250</c:v>
                </c:pt>
              </c:numCache>
            </c:numRef>
          </c:xVal>
          <c:yVal>
            <c:numRef>
              <c:f>'Cost Curves L-PSH'!$C$46:$C$51</c:f>
              <c:numCache>
                <c:formatCode>General</c:formatCode>
                <c:ptCount val="6"/>
                <c:pt idx="0">
                  <c:v>108</c:v>
                </c:pt>
                <c:pt idx="1">
                  <c:v>83</c:v>
                </c:pt>
                <c:pt idx="2">
                  <c:v>58</c:v>
                </c:pt>
                <c:pt idx="3">
                  <c:v>54</c:v>
                </c:pt>
                <c:pt idx="4">
                  <c:v>50</c:v>
                </c:pt>
                <c:pt idx="5">
                  <c:v>49</c:v>
                </c:pt>
              </c:numCache>
            </c:numRef>
          </c:yVal>
          <c:smooth val="0"/>
          <c:extLst>
            <c:ext xmlns:c16="http://schemas.microsoft.com/office/drawing/2014/chart" uri="{C3380CC4-5D6E-409C-BE32-E72D297353CC}">
              <c16:uniqueId val="{00000003-8356-AA43-98F4-F9A1DB20E442}"/>
            </c:ext>
          </c:extLst>
        </c:ser>
        <c:ser>
          <c:idx val="2"/>
          <c:order val="2"/>
          <c:tx>
            <c:strRef>
              <c:f>'Cost Curves L-PSH'!$D$44:$D$45</c:f>
              <c:strCache>
                <c:ptCount val="2"/>
                <c:pt idx="0">
                  <c:v>$/kW Average Conditions</c:v>
                </c:pt>
                <c:pt idx="1">
                  <c:v>4 Units</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olid"/>
              </a:ln>
              <a:effectLst/>
            </c:spPr>
            <c:trendlineType val="power"/>
            <c:dispRSqr val="0"/>
            <c:dispEq val="1"/>
            <c:trendlineLbl>
              <c:layout>
                <c:manualLayout>
                  <c:x val="-3.5701581503725356E-2"/>
                  <c:y val="-0.1780449599382224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L-PSH'!$A$46:$A$51</c:f>
              <c:numCache>
                <c:formatCode>General</c:formatCode>
                <c:ptCount val="6"/>
                <c:pt idx="0">
                  <c:v>350</c:v>
                </c:pt>
                <c:pt idx="1">
                  <c:v>500</c:v>
                </c:pt>
                <c:pt idx="2">
                  <c:v>1000</c:v>
                </c:pt>
                <c:pt idx="3">
                  <c:v>1500</c:v>
                </c:pt>
                <c:pt idx="4">
                  <c:v>2000</c:v>
                </c:pt>
                <c:pt idx="5">
                  <c:v>2250</c:v>
                </c:pt>
              </c:numCache>
            </c:numRef>
          </c:xVal>
          <c:yVal>
            <c:numRef>
              <c:f>'Cost Curves L-PSH'!$D$46:$D$51</c:f>
              <c:numCache>
                <c:formatCode>General</c:formatCode>
                <c:ptCount val="6"/>
                <c:pt idx="0">
                  <c:v>97</c:v>
                </c:pt>
                <c:pt idx="1">
                  <c:v>75</c:v>
                </c:pt>
                <c:pt idx="2">
                  <c:v>52</c:v>
                </c:pt>
                <c:pt idx="3">
                  <c:v>46</c:v>
                </c:pt>
                <c:pt idx="4">
                  <c:v>44</c:v>
                </c:pt>
                <c:pt idx="5">
                  <c:v>43</c:v>
                </c:pt>
              </c:numCache>
            </c:numRef>
          </c:yVal>
          <c:smooth val="0"/>
          <c:extLst>
            <c:ext xmlns:c16="http://schemas.microsoft.com/office/drawing/2014/chart" uri="{C3380CC4-5D6E-409C-BE32-E72D297353CC}">
              <c16:uniqueId val="{00000005-8356-AA43-98F4-F9A1DB20E442}"/>
            </c:ext>
          </c:extLst>
        </c:ser>
        <c:ser>
          <c:idx val="3"/>
          <c:order val="3"/>
          <c:tx>
            <c:strRef>
              <c:f>'Cost Curves L-PSH'!$E$44:$E$45</c:f>
              <c:strCache>
                <c:ptCount val="2"/>
                <c:pt idx="0">
                  <c:v>$/kW Average Conditions</c:v>
                </c:pt>
                <c:pt idx="1">
                  <c:v>6 Units</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olid"/>
              </a:ln>
              <a:effectLst/>
            </c:spPr>
            <c:trendlineType val="power"/>
            <c:dispRSqr val="0"/>
            <c:dispEq val="1"/>
            <c:trendlineLbl>
              <c:layout>
                <c:manualLayout>
                  <c:x val="-3.5701581503725356E-2"/>
                  <c:y val="-0.1588689089890893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L-PSH'!$A$46:$A$51</c:f>
              <c:numCache>
                <c:formatCode>General</c:formatCode>
                <c:ptCount val="6"/>
                <c:pt idx="0">
                  <c:v>350</c:v>
                </c:pt>
                <c:pt idx="1">
                  <c:v>500</c:v>
                </c:pt>
                <c:pt idx="2">
                  <c:v>1000</c:v>
                </c:pt>
                <c:pt idx="3">
                  <c:v>1500</c:v>
                </c:pt>
                <c:pt idx="4">
                  <c:v>2000</c:v>
                </c:pt>
                <c:pt idx="5">
                  <c:v>2250</c:v>
                </c:pt>
              </c:numCache>
            </c:numRef>
          </c:xVal>
          <c:yVal>
            <c:numRef>
              <c:f>'Cost Curves L-PSH'!$E$46:$E$51</c:f>
              <c:numCache>
                <c:formatCode>General</c:formatCode>
                <c:ptCount val="6"/>
                <c:pt idx="0">
                  <c:v>90</c:v>
                </c:pt>
                <c:pt idx="1">
                  <c:v>68</c:v>
                </c:pt>
                <c:pt idx="2">
                  <c:v>48</c:v>
                </c:pt>
                <c:pt idx="3">
                  <c:v>41</c:v>
                </c:pt>
                <c:pt idx="4">
                  <c:v>39</c:v>
                </c:pt>
                <c:pt idx="5">
                  <c:v>38</c:v>
                </c:pt>
              </c:numCache>
            </c:numRef>
          </c:yVal>
          <c:smooth val="0"/>
          <c:extLst>
            <c:ext xmlns:c16="http://schemas.microsoft.com/office/drawing/2014/chart" uri="{C3380CC4-5D6E-409C-BE32-E72D297353CC}">
              <c16:uniqueId val="{00000007-8356-AA43-98F4-F9A1DB20E442}"/>
            </c:ext>
          </c:extLst>
        </c:ser>
        <c:ser>
          <c:idx val="4"/>
          <c:order val="4"/>
          <c:tx>
            <c:strRef>
              <c:f>'Cost Curves L-PSH'!$F$44:$F$45</c:f>
              <c:strCache>
                <c:ptCount val="2"/>
                <c:pt idx="0">
                  <c:v>$/kW Adverse Conditions</c:v>
                </c:pt>
                <c:pt idx="1">
                  <c:v>2 Units</c:v>
                </c:pt>
              </c:strCache>
            </c:strRef>
          </c:tx>
          <c:spPr>
            <a:ln w="25400" cap="rnd">
              <a:no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power"/>
            <c:dispRSqr val="0"/>
            <c:dispEq val="1"/>
            <c:trendlineLbl>
              <c:layout>
                <c:manualLayout>
                  <c:x val="-0.54976563756328178"/>
                  <c:y val="3.4258141697196189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L-PSH'!$A$46:$A$51</c:f>
              <c:numCache>
                <c:formatCode>General</c:formatCode>
                <c:ptCount val="6"/>
                <c:pt idx="0">
                  <c:v>350</c:v>
                </c:pt>
                <c:pt idx="1">
                  <c:v>500</c:v>
                </c:pt>
                <c:pt idx="2">
                  <c:v>1000</c:v>
                </c:pt>
                <c:pt idx="3">
                  <c:v>1500</c:v>
                </c:pt>
                <c:pt idx="4">
                  <c:v>2000</c:v>
                </c:pt>
                <c:pt idx="5">
                  <c:v>2250</c:v>
                </c:pt>
              </c:numCache>
            </c:numRef>
          </c:xVal>
          <c:yVal>
            <c:numRef>
              <c:f>'Cost Curves L-PSH'!$F$46:$F$51</c:f>
              <c:numCache>
                <c:formatCode>General</c:formatCode>
                <c:ptCount val="6"/>
                <c:pt idx="0">
                  <c:v>158</c:v>
                </c:pt>
                <c:pt idx="1">
                  <c:v>120</c:v>
                </c:pt>
                <c:pt idx="2">
                  <c:v>87</c:v>
                </c:pt>
                <c:pt idx="3">
                  <c:v>79</c:v>
                </c:pt>
                <c:pt idx="4">
                  <c:v>76</c:v>
                </c:pt>
                <c:pt idx="5">
                  <c:v>74</c:v>
                </c:pt>
              </c:numCache>
            </c:numRef>
          </c:yVal>
          <c:smooth val="0"/>
          <c:extLst>
            <c:ext xmlns:c16="http://schemas.microsoft.com/office/drawing/2014/chart" uri="{C3380CC4-5D6E-409C-BE32-E72D297353CC}">
              <c16:uniqueId val="{00000009-8356-AA43-98F4-F9A1DB20E442}"/>
            </c:ext>
          </c:extLst>
        </c:ser>
        <c:ser>
          <c:idx val="5"/>
          <c:order val="5"/>
          <c:tx>
            <c:strRef>
              <c:f>'Cost Curves L-PSH'!$G$44:$G$45</c:f>
              <c:strCache>
                <c:ptCount val="2"/>
                <c:pt idx="0">
                  <c:v>$/kW Adverse Conditions</c:v>
                </c:pt>
                <c:pt idx="1">
                  <c:v>3 Units</c:v>
                </c:pt>
              </c:strCache>
            </c:strRef>
          </c:tx>
          <c:spPr>
            <a:ln w="25400" cap="rnd">
              <a:no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power"/>
            <c:dispRSqr val="0"/>
            <c:dispEq val="1"/>
            <c:trendlineLbl>
              <c:layout>
                <c:manualLayout>
                  <c:x val="-0.56605386541280323"/>
                  <c:y val="4.0436060563559993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L-PSH'!$A$46:$A$51</c:f>
              <c:numCache>
                <c:formatCode>General</c:formatCode>
                <c:ptCount val="6"/>
                <c:pt idx="0">
                  <c:v>350</c:v>
                </c:pt>
                <c:pt idx="1">
                  <c:v>500</c:v>
                </c:pt>
                <c:pt idx="2">
                  <c:v>1000</c:v>
                </c:pt>
                <c:pt idx="3">
                  <c:v>1500</c:v>
                </c:pt>
                <c:pt idx="4">
                  <c:v>2000</c:v>
                </c:pt>
                <c:pt idx="5">
                  <c:v>2250</c:v>
                </c:pt>
              </c:numCache>
            </c:numRef>
          </c:xVal>
          <c:yVal>
            <c:numRef>
              <c:f>'Cost Curves L-PSH'!$G$46:$G$51</c:f>
              <c:numCache>
                <c:formatCode>General</c:formatCode>
                <c:ptCount val="6"/>
                <c:pt idx="0">
                  <c:v>134</c:v>
                </c:pt>
                <c:pt idx="1">
                  <c:v>103</c:v>
                </c:pt>
                <c:pt idx="2">
                  <c:v>74</c:v>
                </c:pt>
                <c:pt idx="3">
                  <c:v>69</c:v>
                </c:pt>
                <c:pt idx="4">
                  <c:v>64</c:v>
                </c:pt>
                <c:pt idx="5">
                  <c:v>62</c:v>
                </c:pt>
              </c:numCache>
            </c:numRef>
          </c:yVal>
          <c:smooth val="0"/>
          <c:extLst>
            <c:ext xmlns:c16="http://schemas.microsoft.com/office/drawing/2014/chart" uri="{C3380CC4-5D6E-409C-BE32-E72D297353CC}">
              <c16:uniqueId val="{0000000B-8356-AA43-98F4-F9A1DB20E442}"/>
            </c:ext>
          </c:extLst>
        </c:ser>
        <c:ser>
          <c:idx val="6"/>
          <c:order val="6"/>
          <c:tx>
            <c:strRef>
              <c:f>'Cost Curves L-PSH'!$H$44:$H$45</c:f>
              <c:strCache>
                <c:ptCount val="2"/>
                <c:pt idx="0">
                  <c:v>$/kW Adverse Conditions</c:v>
                </c:pt>
                <c:pt idx="1">
                  <c:v>4 Units</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trendline>
            <c:spPr>
              <a:ln w="19050" cap="rnd">
                <a:solidFill>
                  <a:schemeClr val="accent1">
                    <a:lumMod val="60000"/>
                  </a:schemeClr>
                </a:solidFill>
                <a:prstDash val="sysDot"/>
              </a:ln>
              <a:effectLst/>
            </c:spPr>
            <c:trendlineType val="power"/>
            <c:dispRSqr val="0"/>
            <c:dispEq val="1"/>
            <c:trendlineLbl>
              <c:layout>
                <c:manualLayout>
                  <c:x val="-0.56046621262954721"/>
                  <c:y val="5.036547148169777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L-PSH'!$A$46:$A$51</c:f>
              <c:numCache>
                <c:formatCode>General</c:formatCode>
                <c:ptCount val="6"/>
                <c:pt idx="0">
                  <c:v>350</c:v>
                </c:pt>
                <c:pt idx="1">
                  <c:v>500</c:v>
                </c:pt>
                <c:pt idx="2">
                  <c:v>1000</c:v>
                </c:pt>
                <c:pt idx="3">
                  <c:v>1500</c:v>
                </c:pt>
                <c:pt idx="4">
                  <c:v>2000</c:v>
                </c:pt>
                <c:pt idx="5">
                  <c:v>2250</c:v>
                </c:pt>
              </c:numCache>
            </c:numRef>
          </c:xVal>
          <c:yVal>
            <c:numRef>
              <c:f>'Cost Curves L-PSH'!$H$46:$H$51</c:f>
              <c:numCache>
                <c:formatCode>General</c:formatCode>
                <c:ptCount val="6"/>
                <c:pt idx="0">
                  <c:v>122</c:v>
                </c:pt>
                <c:pt idx="1">
                  <c:v>96</c:v>
                </c:pt>
                <c:pt idx="2">
                  <c:v>66</c:v>
                </c:pt>
                <c:pt idx="3">
                  <c:v>62</c:v>
                </c:pt>
                <c:pt idx="4">
                  <c:v>56</c:v>
                </c:pt>
                <c:pt idx="5">
                  <c:v>54</c:v>
                </c:pt>
              </c:numCache>
            </c:numRef>
          </c:yVal>
          <c:smooth val="0"/>
          <c:extLst>
            <c:ext xmlns:c16="http://schemas.microsoft.com/office/drawing/2014/chart" uri="{C3380CC4-5D6E-409C-BE32-E72D297353CC}">
              <c16:uniqueId val="{0000000D-8356-AA43-98F4-F9A1DB20E442}"/>
            </c:ext>
          </c:extLst>
        </c:ser>
        <c:ser>
          <c:idx val="7"/>
          <c:order val="7"/>
          <c:tx>
            <c:strRef>
              <c:f>'Cost Curves L-PSH'!$I$44:$I$45</c:f>
              <c:strCache>
                <c:ptCount val="2"/>
                <c:pt idx="0">
                  <c:v>$/kW Adverse Conditions</c:v>
                </c:pt>
                <c:pt idx="1">
                  <c:v>6 Units</c:v>
                </c:pt>
              </c:strCache>
            </c:strRef>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trendline>
            <c:spPr>
              <a:ln w="19050" cap="rnd">
                <a:solidFill>
                  <a:schemeClr val="accent2">
                    <a:lumMod val="60000"/>
                  </a:schemeClr>
                </a:solidFill>
                <a:prstDash val="sysDot"/>
              </a:ln>
              <a:effectLst/>
            </c:spPr>
            <c:trendlineType val="power"/>
            <c:dispRSqr val="0"/>
            <c:dispEq val="1"/>
            <c:trendlineLbl>
              <c:layout>
                <c:manualLayout>
                  <c:x val="-0.57175327125172437"/>
                  <c:y val="6.835754207810872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L-PSH'!$A$46:$A$51</c:f>
              <c:numCache>
                <c:formatCode>General</c:formatCode>
                <c:ptCount val="6"/>
                <c:pt idx="0">
                  <c:v>350</c:v>
                </c:pt>
                <c:pt idx="1">
                  <c:v>500</c:v>
                </c:pt>
                <c:pt idx="2">
                  <c:v>1000</c:v>
                </c:pt>
                <c:pt idx="3">
                  <c:v>1500</c:v>
                </c:pt>
                <c:pt idx="4">
                  <c:v>2000</c:v>
                </c:pt>
                <c:pt idx="5">
                  <c:v>2250</c:v>
                </c:pt>
              </c:numCache>
            </c:numRef>
          </c:xVal>
          <c:yVal>
            <c:numRef>
              <c:f>'Cost Curves L-PSH'!$I$46:$I$51</c:f>
              <c:numCache>
                <c:formatCode>General</c:formatCode>
                <c:ptCount val="6"/>
                <c:pt idx="0">
                  <c:v>112</c:v>
                </c:pt>
                <c:pt idx="1">
                  <c:v>86</c:v>
                </c:pt>
                <c:pt idx="2">
                  <c:v>58</c:v>
                </c:pt>
                <c:pt idx="3">
                  <c:v>56</c:v>
                </c:pt>
                <c:pt idx="4">
                  <c:v>52</c:v>
                </c:pt>
                <c:pt idx="5">
                  <c:v>51</c:v>
                </c:pt>
              </c:numCache>
            </c:numRef>
          </c:yVal>
          <c:smooth val="0"/>
          <c:extLst>
            <c:ext xmlns:c16="http://schemas.microsoft.com/office/drawing/2014/chart" uri="{C3380CC4-5D6E-409C-BE32-E72D297353CC}">
              <c16:uniqueId val="{0000000F-8356-AA43-98F4-F9A1DB20E442}"/>
            </c:ext>
          </c:extLst>
        </c:ser>
        <c:dLbls>
          <c:showLegendKey val="0"/>
          <c:showVal val="0"/>
          <c:showCatName val="0"/>
          <c:showSerName val="0"/>
          <c:showPercent val="0"/>
          <c:showBubbleSize val="0"/>
        </c:dLbls>
        <c:axId val="1892131983"/>
        <c:axId val="1891732623"/>
      </c:scatterChart>
      <c:valAx>
        <c:axId val="189213198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1732623"/>
        <c:crosses val="autoZero"/>
        <c:crossBetween val="midCat"/>
      </c:valAx>
      <c:valAx>
        <c:axId val="18917326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21319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Underground Powestation Structure Cost $/kW</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L-PSH'!$L$44:$L$45</c:f>
              <c:strCache>
                <c:ptCount val="2"/>
                <c:pt idx="0">
                  <c:v>$/kW Average Conditions</c:v>
                </c:pt>
                <c:pt idx="1">
                  <c:v>2 Units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olid"/>
              </a:ln>
              <a:effectLst/>
            </c:spPr>
            <c:trendlineType val="power"/>
            <c:dispRSqr val="0"/>
            <c:dispEq val="1"/>
            <c:trendlineLbl>
              <c:layout>
                <c:manualLayout>
                  <c:x val="-8.0085277772034266E-2"/>
                  <c:y val="-0.1996781983881092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L-PSH'!$K$47:$K$51</c:f>
              <c:numCache>
                <c:formatCode>General</c:formatCode>
                <c:ptCount val="5"/>
                <c:pt idx="0">
                  <c:v>500</c:v>
                </c:pt>
                <c:pt idx="1">
                  <c:v>1000</c:v>
                </c:pt>
                <c:pt idx="2">
                  <c:v>1500</c:v>
                </c:pt>
                <c:pt idx="3">
                  <c:v>2000</c:v>
                </c:pt>
                <c:pt idx="4">
                  <c:v>2250</c:v>
                </c:pt>
              </c:numCache>
            </c:numRef>
          </c:xVal>
          <c:yVal>
            <c:numRef>
              <c:f>'Cost Curves L-PSH'!$L$47:$L$51</c:f>
              <c:numCache>
                <c:formatCode>General</c:formatCode>
                <c:ptCount val="5"/>
                <c:pt idx="0">
                  <c:v>95</c:v>
                </c:pt>
                <c:pt idx="1">
                  <c:v>59</c:v>
                </c:pt>
                <c:pt idx="2">
                  <c:v>46</c:v>
                </c:pt>
                <c:pt idx="3">
                  <c:v>45</c:v>
                </c:pt>
                <c:pt idx="4">
                  <c:v>45</c:v>
                </c:pt>
              </c:numCache>
            </c:numRef>
          </c:yVal>
          <c:smooth val="0"/>
          <c:extLst>
            <c:ext xmlns:c16="http://schemas.microsoft.com/office/drawing/2014/chart" uri="{C3380CC4-5D6E-409C-BE32-E72D297353CC}">
              <c16:uniqueId val="{00000001-66EE-B64C-A21C-A265FD631427}"/>
            </c:ext>
          </c:extLst>
        </c:ser>
        <c:ser>
          <c:idx val="1"/>
          <c:order val="1"/>
          <c:tx>
            <c:strRef>
              <c:f>'Cost Curves L-PSH'!$M$44:$M$45</c:f>
              <c:strCache>
                <c:ptCount val="2"/>
                <c:pt idx="0">
                  <c:v>$/kW Average Conditions</c:v>
                </c:pt>
                <c:pt idx="1">
                  <c:v>3 Units</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olid"/>
              </a:ln>
              <a:effectLst/>
            </c:spPr>
            <c:trendlineType val="power"/>
            <c:dispRSqr val="0"/>
            <c:dispEq val="1"/>
            <c:trendlineLbl>
              <c:layout>
                <c:manualLayout>
                  <c:x val="-7.7485345697818703E-2"/>
                  <c:y val="-0.1827801346483947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L-PSH'!$K$47:$K$51</c:f>
              <c:numCache>
                <c:formatCode>General</c:formatCode>
                <c:ptCount val="5"/>
                <c:pt idx="0">
                  <c:v>500</c:v>
                </c:pt>
                <c:pt idx="1">
                  <c:v>1000</c:v>
                </c:pt>
                <c:pt idx="2">
                  <c:v>1500</c:v>
                </c:pt>
                <c:pt idx="3">
                  <c:v>2000</c:v>
                </c:pt>
                <c:pt idx="4">
                  <c:v>2250</c:v>
                </c:pt>
              </c:numCache>
            </c:numRef>
          </c:xVal>
          <c:yVal>
            <c:numRef>
              <c:f>'Cost Curves L-PSH'!$M$47:$M$51</c:f>
              <c:numCache>
                <c:formatCode>General</c:formatCode>
                <c:ptCount val="5"/>
                <c:pt idx="0">
                  <c:v>80</c:v>
                </c:pt>
                <c:pt idx="1">
                  <c:v>52</c:v>
                </c:pt>
                <c:pt idx="2">
                  <c:v>41</c:v>
                </c:pt>
                <c:pt idx="3">
                  <c:v>38.75</c:v>
                </c:pt>
                <c:pt idx="4">
                  <c:v>38.5</c:v>
                </c:pt>
              </c:numCache>
            </c:numRef>
          </c:yVal>
          <c:smooth val="0"/>
          <c:extLst>
            <c:ext xmlns:c16="http://schemas.microsoft.com/office/drawing/2014/chart" uri="{C3380CC4-5D6E-409C-BE32-E72D297353CC}">
              <c16:uniqueId val="{00000003-66EE-B64C-A21C-A265FD631427}"/>
            </c:ext>
          </c:extLst>
        </c:ser>
        <c:ser>
          <c:idx val="2"/>
          <c:order val="2"/>
          <c:tx>
            <c:strRef>
              <c:f>'Cost Curves L-PSH'!$N$44:$N$45</c:f>
              <c:strCache>
                <c:ptCount val="2"/>
                <c:pt idx="0">
                  <c:v>$/kW Average Conditions</c:v>
                </c:pt>
                <c:pt idx="1">
                  <c:v>4 Units</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olid"/>
              </a:ln>
              <a:effectLst/>
            </c:spPr>
            <c:trendlineType val="power"/>
            <c:dispRSqr val="0"/>
            <c:dispEq val="1"/>
            <c:trendlineLbl>
              <c:layout>
                <c:manualLayout>
                  <c:x val="-8.2789207129218473E-2"/>
                  <c:y val="-0.1645560309058109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L-PSH'!$K$47:$K$51</c:f>
              <c:numCache>
                <c:formatCode>General</c:formatCode>
                <c:ptCount val="5"/>
                <c:pt idx="0">
                  <c:v>500</c:v>
                </c:pt>
                <c:pt idx="1">
                  <c:v>1000</c:v>
                </c:pt>
                <c:pt idx="2">
                  <c:v>1500</c:v>
                </c:pt>
                <c:pt idx="3">
                  <c:v>2000</c:v>
                </c:pt>
                <c:pt idx="4">
                  <c:v>2250</c:v>
                </c:pt>
              </c:numCache>
            </c:numRef>
          </c:xVal>
          <c:yVal>
            <c:numRef>
              <c:f>'Cost Curves L-PSH'!$N$47:$N$51</c:f>
              <c:numCache>
                <c:formatCode>General</c:formatCode>
                <c:ptCount val="5"/>
                <c:pt idx="0">
                  <c:v>73</c:v>
                </c:pt>
                <c:pt idx="1">
                  <c:v>44</c:v>
                </c:pt>
                <c:pt idx="2">
                  <c:v>36</c:v>
                </c:pt>
                <c:pt idx="3">
                  <c:v>34</c:v>
                </c:pt>
                <c:pt idx="4">
                  <c:v>33.75</c:v>
                </c:pt>
              </c:numCache>
            </c:numRef>
          </c:yVal>
          <c:smooth val="0"/>
          <c:extLst>
            <c:ext xmlns:c16="http://schemas.microsoft.com/office/drawing/2014/chart" uri="{C3380CC4-5D6E-409C-BE32-E72D297353CC}">
              <c16:uniqueId val="{00000005-66EE-B64C-A21C-A265FD631427}"/>
            </c:ext>
          </c:extLst>
        </c:ser>
        <c:ser>
          <c:idx val="3"/>
          <c:order val="3"/>
          <c:tx>
            <c:strRef>
              <c:f>'Cost Curves L-PSH'!$O$44:$O$45</c:f>
              <c:strCache>
                <c:ptCount val="2"/>
                <c:pt idx="0">
                  <c:v>$/kW Average Conditions</c:v>
                </c:pt>
                <c:pt idx="1">
                  <c:v>6 Units</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olid"/>
              </a:ln>
              <a:effectLst/>
            </c:spPr>
            <c:trendlineType val="power"/>
            <c:dispRSqr val="0"/>
            <c:dispEq val="1"/>
            <c:trendlineLbl>
              <c:layout>
                <c:manualLayout>
                  <c:x val="-7.4885413623603125E-2"/>
                  <c:y val="-0.143680012829652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L-PSH'!$K$47:$K$51</c:f>
              <c:numCache>
                <c:formatCode>General</c:formatCode>
                <c:ptCount val="5"/>
                <c:pt idx="0">
                  <c:v>500</c:v>
                </c:pt>
                <c:pt idx="1">
                  <c:v>1000</c:v>
                </c:pt>
                <c:pt idx="2">
                  <c:v>1500</c:v>
                </c:pt>
                <c:pt idx="3">
                  <c:v>2000</c:v>
                </c:pt>
                <c:pt idx="4">
                  <c:v>2250</c:v>
                </c:pt>
              </c:numCache>
            </c:numRef>
          </c:xVal>
          <c:yVal>
            <c:numRef>
              <c:f>'Cost Curves L-PSH'!$O$47:$O$51</c:f>
              <c:numCache>
                <c:formatCode>General</c:formatCode>
                <c:ptCount val="5"/>
                <c:pt idx="0">
                  <c:v>64</c:v>
                </c:pt>
                <c:pt idx="1">
                  <c:v>40</c:v>
                </c:pt>
                <c:pt idx="2">
                  <c:v>32</c:v>
                </c:pt>
                <c:pt idx="3">
                  <c:v>30</c:v>
                </c:pt>
                <c:pt idx="4">
                  <c:v>29.5</c:v>
                </c:pt>
              </c:numCache>
            </c:numRef>
          </c:yVal>
          <c:smooth val="0"/>
          <c:extLst>
            <c:ext xmlns:c16="http://schemas.microsoft.com/office/drawing/2014/chart" uri="{C3380CC4-5D6E-409C-BE32-E72D297353CC}">
              <c16:uniqueId val="{00000007-66EE-B64C-A21C-A265FD631427}"/>
            </c:ext>
          </c:extLst>
        </c:ser>
        <c:ser>
          <c:idx val="4"/>
          <c:order val="4"/>
          <c:tx>
            <c:strRef>
              <c:f>'Cost Curves L-PSH'!$P$44:$P$45</c:f>
              <c:strCache>
                <c:ptCount val="2"/>
                <c:pt idx="0">
                  <c:v>$/kW Adverse Conditions</c:v>
                </c:pt>
                <c:pt idx="1">
                  <c:v>2 Units</c:v>
                </c:pt>
              </c:strCache>
            </c:strRef>
          </c:tx>
          <c:spPr>
            <a:ln w="25400" cap="rnd">
              <a:no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power"/>
            <c:dispRSqr val="0"/>
            <c:dispEq val="1"/>
            <c:trendlineLbl>
              <c:layout>
                <c:manualLayout>
                  <c:x val="-0.60277562197233303"/>
                  <c:y val="1.232286125105346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L-PSH'!$K$47:$K$51</c:f>
              <c:numCache>
                <c:formatCode>General</c:formatCode>
                <c:ptCount val="5"/>
                <c:pt idx="0">
                  <c:v>500</c:v>
                </c:pt>
                <c:pt idx="1">
                  <c:v>1000</c:v>
                </c:pt>
                <c:pt idx="2">
                  <c:v>1500</c:v>
                </c:pt>
                <c:pt idx="3">
                  <c:v>2000</c:v>
                </c:pt>
                <c:pt idx="4">
                  <c:v>2250</c:v>
                </c:pt>
              </c:numCache>
            </c:numRef>
          </c:xVal>
          <c:yVal>
            <c:numRef>
              <c:f>'Cost Curves L-PSH'!$P$47:$P$51</c:f>
              <c:numCache>
                <c:formatCode>General</c:formatCode>
                <c:ptCount val="5"/>
                <c:pt idx="0">
                  <c:v>116</c:v>
                </c:pt>
                <c:pt idx="1">
                  <c:v>74</c:v>
                </c:pt>
                <c:pt idx="2">
                  <c:v>60</c:v>
                </c:pt>
                <c:pt idx="3">
                  <c:v>56</c:v>
                </c:pt>
                <c:pt idx="4">
                  <c:v>57</c:v>
                </c:pt>
              </c:numCache>
            </c:numRef>
          </c:yVal>
          <c:smooth val="0"/>
          <c:extLst>
            <c:ext xmlns:c16="http://schemas.microsoft.com/office/drawing/2014/chart" uri="{C3380CC4-5D6E-409C-BE32-E72D297353CC}">
              <c16:uniqueId val="{00000009-66EE-B64C-A21C-A265FD631427}"/>
            </c:ext>
          </c:extLst>
        </c:ser>
        <c:ser>
          <c:idx val="5"/>
          <c:order val="5"/>
          <c:tx>
            <c:strRef>
              <c:f>'Cost Curves L-PSH'!$Q$44:$Q$45</c:f>
              <c:strCache>
                <c:ptCount val="2"/>
                <c:pt idx="0">
                  <c:v>$/kW Adverse Conditions</c:v>
                </c:pt>
                <c:pt idx="1">
                  <c:v>3 Units</c:v>
                </c:pt>
              </c:strCache>
            </c:strRef>
          </c:tx>
          <c:spPr>
            <a:ln w="25400" cap="rnd">
              <a:no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power"/>
            <c:dispRSqr val="0"/>
            <c:dispEq val="1"/>
            <c:trendlineLbl>
              <c:layout>
                <c:manualLayout>
                  <c:x val="-0.59487182846671771"/>
                  <c:y val="1.818169166852909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L-PSH'!$K$47:$K$51</c:f>
              <c:numCache>
                <c:formatCode>General</c:formatCode>
                <c:ptCount val="5"/>
                <c:pt idx="0">
                  <c:v>500</c:v>
                </c:pt>
                <c:pt idx="1">
                  <c:v>1000</c:v>
                </c:pt>
                <c:pt idx="2">
                  <c:v>1500</c:v>
                </c:pt>
                <c:pt idx="3">
                  <c:v>2000</c:v>
                </c:pt>
                <c:pt idx="4">
                  <c:v>2250</c:v>
                </c:pt>
              </c:numCache>
            </c:numRef>
          </c:xVal>
          <c:yVal>
            <c:numRef>
              <c:f>'Cost Curves L-PSH'!$Q$47:$Q$51</c:f>
              <c:numCache>
                <c:formatCode>General</c:formatCode>
                <c:ptCount val="5"/>
                <c:pt idx="0">
                  <c:v>100</c:v>
                </c:pt>
                <c:pt idx="1">
                  <c:v>64</c:v>
                </c:pt>
                <c:pt idx="2">
                  <c:v>50</c:v>
                </c:pt>
                <c:pt idx="3">
                  <c:v>48</c:v>
                </c:pt>
                <c:pt idx="4">
                  <c:v>48</c:v>
                </c:pt>
              </c:numCache>
            </c:numRef>
          </c:yVal>
          <c:smooth val="0"/>
          <c:extLst>
            <c:ext xmlns:c16="http://schemas.microsoft.com/office/drawing/2014/chart" uri="{C3380CC4-5D6E-409C-BE32-E72D297353CC}">
              <c16:uniqueId val="{0000000B-66EE-B64C-A21C-A265FD631427}"/>
            </c:ext>
          </c:extLst>
        </c:ser>
        <c:ser>
          <c:idx val="6"/>
          <c:order val="6"/>
          <c:tx>
            <c:strRef>
              <c:f>'Cost Curves L-PSH'!$R$44:$R$45</c:f>
              <c:strCache>
                <c:ptCount val="2"/>
                <c:pt idx="0">
                  <c:v>$/kW Adverse Conditions</c:v>
                </c:pt>
                <c:pt idx="1">
                  <c:v>4 Units</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trendline>
            <c:spPr>
              <a:ln w="19050" cap="rnd">
                <a:solidFill>
                  <a:schemeClr val="accent1">
                    <a:lumMod val="60000"/>
                  </a:schemeClr>
                </a:solidFill>
                <a:prstDash val="sysDot"/>
              </a:ln>
              <a:effectLst/>
            </c:spPr>
            <c:trendlineType val="power"/>
            <c:dispRSqr val="0"/>
            <c:dispEq val="1"/>
            <c:trendlineLbl>
              <c:layout>
                <c:manualLayout>
                  <c:x val="-0.60277562197233303"/>
                  <c:y val="3.088559889741865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L-PSH'!$K$47:$K$51</c:f>
              <c:numCache>
                <c:formatCode>General</c:formatCode>
                <c:ptCount val="5"/>
                <c:pt idx="0">
                  <c:v>500</c:v>
                </c:pt>
                <c:pt idx="1">
                  <c:v>1000</c:v>
                </c:pt>
                <c:pt idx="2">
                  <c:v>1500</c:v>
                </c:pt>
                <c:pt idx="3">
                  <c:v>2000</c:v>
                </c:pt>
                <c:pt idx="4">
                  <c:v>2250</c:v>
                </c:pt>
              </c:numCache>
            </c:numRef>
          </c:xVal>
          <c:yVal>
            <c:numRef>
              <c:f>'Cost Curves L-PSH'!$R$47:$R$51</c:f>
              <c:numCache>
                <c:formatCode>General</c:formatCode>
                <c:ptCount val="5"/>
                <c:pt idx="0">
                  <c:v>94</c:v>
                </c:pt>
                <c:pt idx="1">
                  <c:v>55</c:v>
                </c:pt>
                <c:pt idx="2">
                  <c:v>44</c:v>
                </c:pt>
                <c:pt idx="3">
                  <c:v>43</c:v>
                </c:pt>
                <c:pt idx="4">
                  <c:v>43</c:v>
                </c:pt>
              </c:numCache>
            </c:numRef>
          </c:yVal>
          <c:smooth val="0"/>
          <c:extLst>
            <c:ext xmlns:c16="http://schemas.microsoft.com/office/drawing/2014/chart" uri="{C3380CC4-5D6E-409C-BE32-E72D297353CC}">
              <c16:uniqueId val="{0000000D-66EE-B64C-A21C-A265FD631427}"/>
            </c:ext>
          </c:extLst>
        </c:ser>
        <c:ser>
          <c:idx val="7"/>
          <c:order val="7"/>
          <c:tx>
            <c:strRef>
              <c:f>'Cost Curves L-PSH'!$S$44:$S$45</c:f>
              <c:strCache>
                <c:ptCount val="2"/>
                <c:pt idx="0">
                  <c:v>$/kW Adverse Conditions</c:v>
                </c:pt>
                <c:pt idx="1">
                  <c:v>6 Units</c:v>
                </c:pt>
              </c:strCache>
            </c:strRef>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trendline>
            <c:spPr>
              <a:ln w="19050" cap="rnd">
                <a:solidFill>
                  <a:schemeClr val="accent2">
                    <a:lumMod val="60000"/>
                  </a:schemeClr>
                </a:solidFill>
                <a:prstDash val="sysDot"/>
              </a:ln>
              <a:effectLst/>
            </c:spPr>
            <c:trendlineType val="power"/>
            <c:dispRSqr val="0"/>
            <c:dispEq val="1"/>
            <c:trendlineLbl>
              <c:layout>
                <c:manualLayout>
                  <c:x val="-0.59487182846671771"/>
                  <c:y val="4.911616385440929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L-PSH'!$K$47:$K$51</c:f>
              <c:numCache>
                <c:formatCode>General</c:formatCode>
                <c:ptCount val="5"/>
                <c:pt idx="0">
                  <c:v>500</c:v>
                </c:pt>
                <c:pt idx="1">
                  <c:v>1000</c:v>
                </c:pt>
                <c:pt idx="2">
                  <c:v>1500</c:v>
                </c:pt>
                <c:pt idx="3">
                  <c:v>2000</c:v>
                </c:pt>
                <c:pt idx="4">
                  <c:v>2250</c:v>
                </c:pt>
              </c:numCache>
            </c:numRef>
          </c:xVal>
          <c:yVal>
            <c:numRef>
              <c:f>'Cost Curves L-PSH'!$S$47:$S$51</c:f>
              <c:numCache>
                <c:formatCode>General</c:formatCode>
                <c:ptCount val="5"/>
                <c:pt idx="0">
                  <c:v>83</c:v>
                </c:pt>
                <c:pt idx="1">
                  <c:v>52</c:v>
                </c:pt>
                <c:pt idx="2">
                  <c:v>40</c:v>
                </c:pt>
                <c:pt idx="3">
                  <c:v>38</c:v>
                </c:pt>
                <c:pt idx="4">
                  <c:v>38.5</c:v>
                </c:pt>
              </c:numCache>
            </c:numRef>
          </c:yVal>
          <c:smooth val="0"/>
          <c:extLst>
            <c:ext xmlns:c16="http://schemas.microsoft.com/office/drawing/2014/chart" uri="{C3380CC4-5D6E-409C-BE32-E72D297353CC}">
              <c16:uniqueId val="{0000000F-66EE-B64C-A21C-A265FD631427}"/>
            </c:ext>
          </c:extLst>
        </c:ser>
        <c:dLbls>
          <c:showLegendKey val="0"/>
          <c:showVal val="0"/>
          <c:showCatName val="0"/>
          <c:showSerName val="0"/>
          <c:showPercent val="0"/>
          <c:showBubbleSize val="0"/>
        </c:dLbls>
        <c:axId val="1903879439"/>
        <c:axId val="1903622863"/>
      </c:scatterChart>
      <c:valAx>
        <c:axId val="190387943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3622863"/>
        <c:crosses val="autoZero"/>
        <c:crossBetween val="midCat"/>
      </c:valAx>
      <c:valAx>
        <c:axId val="19036228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387943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Surface Powestation Structure Cost $/kW</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L-PSH'!$V$44:$V$45</c:f>
              <c:strCache>
                <c:ptCount val="2"/>
                <c:pt idx="0">
                  <c:v>$/kW Average Conditions</c:v>
                </c:pt>
                <c:pt idx="1">
                  <c:v>2 Units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olid"/>
              </a:ln>
              <a:effectLst/>
            </c:spPr>
            <c:trendlineType val="poly"/>
            <c:order val="2"/>
            <c:dispRSqr val="0"/>
            <c:dispEq val="1"/>
            <c:trendlineLbl>
              <c:layout>
                <c:manualLayout>
                  <c:x val="-0.40363660782691774"/>
                  <c:y val="8.587323704411441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L-PSH'!$U$47:$U$51</c:f>
              <c:numCache>
                <c:formatCode>General</c:formatCode>
                <c:ptCount val="5"/>
                <c:pt idx="0">
                  <c:v>500</c:v>
                </c:pt>
                <c:pt idx="1">
                  <c:v>1000</c:v>
                </c:pt>
                <c:pt idx="2">
                  <c:v>1500</c:v>
                </c:pt>
                <c:pt idx="3">
                  <c:v>2000</c:v>
                </c:pt>
                <c:pt idx="4">
                  <c:v>2250</c:v>
                </c:pt>
              </c:numCache>
            </c:numRef>
          </c:xVal>
          <c:yVal>
            <c:numRef>
              <c:f>'Cost Curves L-PSH'!$V$47:$V$51</c:f>
              <c:numCache>
                <c:formatCode>General</c:formatCode>
                <c:ptCount val="5"/>
                <c:pt idx="0">
                  <c:v>62</c:v>
                </c:pt>
                <c:pt idx="1">
                  <c:v>60</c:v>
                </c:pt>
                <c:pt idx="2">
                  <c:v>62</c:v>
                </c:pt>
                <c:pt idx="3">
                  <c:v>66</c:v>
                </c:pt>
                <c:pt idx="4">
                  <c:v>71</c:v>
                </c:pt>
              </c:numCache>
            </c:numRef>
          </c:yVal>
          <c:smooth val="0"/>
          <c:extLst>
            <c:ext xmlns:c16="http://schemas.microsoft.com/office/drawing/2014/chart" uri="{C3380CC4-5D6E-409C-BE32-E72D297353CC}">
              <c16:uniqueId val="{00000001-9CAD-DE4C-AD6F-4805D88705E0}"/>
            </c:ext>
          </c:extLst>
        </c:ser>
        <c:ser>
          <c:idx val="1"/>
          <c:order val="1"/>
          <c:tx>
            <c:strRef>
              <c:f>'Cost Curves L-PSH'!$W$44:$W$45</c:f>
              <c:strCache>
                <c:ptCount val="2"/>
                <c:pt idx="0">
                  <c:v>$/kW Average Conditions</c:v>
                </c:pt>
                <c:pt idx="1">
                  <c:v>3 Units</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olid"/>
              </a:ln>
              <a:effectLst/>
            </c:spPr>
            <c:trendlineType val="poly"/>
            <c:order val="2"/>
            <c:dispRSqr val="0"/>
            <c:dispEq val="1"/>
            <c:trendlineLbl>
              <c:layout>
                <c:manualLayout>
                  <c:x val="-0.40622095785779766"/>
                  <c:y val="0.1004406843945462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L-PSH'!$U$47:$U$51</c:f>
              <c:numCache>
                <c:formatCode>General</c:formatCode>
                <c:ptCount val="5"/>
                <c:pt idx="0">
                  <c:v>500</c:v>
                </c:pt>
                <c:pt idx="1">
                  <c:v>1000</c:v>
                </c:pt>
                <c:pt idx="2">
                  <c:v>1500</c:v>
                </c:pt>
                <c:pt idx="3">
                  <c:v>2000</c:v>
                </c:pt>
                <c:pt idx="4">
                  <c:v>2250</c:v>
                </c:pt>
              </c:numCache>
            </c:numRef>
          </c:xVal>
          <c:yVal>
            <c:numRef>
              <c:f>'Cost Curves L-PSH'!$W$47:$W$51</c:f>
              <c:numCache>
                <c:formatCode>General</c:formatCode>
                <c:ptCount val="5"/>
                <c:pt idx="0">
                  <c:v>55</c:v>
                </c:pt>
                <c:pt idx="1">
                  <c:v>54</c:v>
                </c:pt>
                <c:pt idx="2">
                  <c:v>56</c:v>
                </c:pt>
                <c:pt idx="3">
                  <c:v>64</c:v>
                </c:pt>
                <c:pt idx="4">
                  <c:v>66</c:v>
                </c:pt>
              </c:numCache>
            </c:numRef>
          </c:yVal>
          <c:smooth val="0"/>
          <c:extLst>
            <c:ext xmlns:c16="http://schemas.microsoft.com/office/drawing/2014/chart" uri="{C3380CC4-5D6E-409C-BE32-E72D297353CC}">
              <c16:uniqueId val="{00000003-9CAD-DE4C-AD6F-4805D88705E0}"/>
            </c:ext>
          </c:extLst>
        </c:ser>
        <c:ser>
          <c:idx val="2"/>
          <c:order val="2"/>
          <c:tx>
            <c:strRef>
              <c:f>'Cost Curves L-PSH'!$X$44:$X$45</c:f>
              <c:strCache>
                <c:ptCount val="2"/>
                <c:pt idx="0">
                  <c:v>$/kW Average Conditions</c:v>
                </c:pt>
                <c:pt idx="1">
                  <c:v>4 Units</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cmpd="sng">
                <a:solidFill>
                  <a:schemeClr val="accent3"/>
                </a:solidFill>
                <a:prstDash val="solid"/>
              </a:ln>
              <a:effectLst/>
            </c:spPr>
            <c:trendlineType val="poly"/>
            <c:order val="2"/>
            <c:dispRSqr val="0"/>
            <c:dispEq val="1"/>
            <c:trendlineLbl>
              <c:layout>
                <c:manualLayout>
                  <c:x val="-0.39329920770339799"/>
                  <c:y val="0.1138488782212081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L-PSH'!$U$47:$U$51</c:f>
              <c:numCache>
                <c:formatCode>General</c:formatCode>
                <c:ptCount val="5"/>
                <c:pt idx="0">
                  <c:v>500</c:v>
                </c:pt>
                <c:pt idx="1">
                  <c:v>1000</c:v>
                </c:pt>
                <c:pt idx="2">
                  <c:v>1500</c:v>
                </c:pt>
                <c:pt idx="3">
                  <c:v>2000</c:v>
                </c:pt>
                <c:pt idx="4">
                  <c:v>2250</c:v>
                </c:pt>
              </c:numCache>
            </c:numRef>
          </c:xVal>
          <c:yVal>
            <c:numRef>
              <c:f>'Cost Curves L-PSH'!$X$47:$X$51</c:f>
              <c:numCache>
                <c:formatCode>General</c:formatCode>
                <c:ptCount val="5"/>
                <c:pt idx="0">
                  <c:v>52</c:v>
                </c:pt>
                <c:pt idx="1">
                  <c:v>53</c:v>
                </c:pt>
                <c:pt idx="2">
                  <c:v>54.5</c:v>
                </c:pt>
                <c:pt idx="3">
                  <c:v>59</c:v>
                </c:pt>
                <c:pt idx="4">
                  <c:v>63</c:v>
                </c:pt>
              </c:numCache>
            </c:numRef>
          </c:yVal>
          <c:smooth val="0"/>
          <c:extLst>
            <c:ext xmlns:c16="http://schemas.microsoft.com/office/drawing/2014/chart" uri="{C3380CC4-5D6E-409C-BE32-E72D297353CC}">
              <c16:uniqueId val="{00000005-9CAD-DE4C-AD6F-4805D88705E0}"/>
            </c:ext>
          </c:extLst>
        </c:ser>
        <c:ser>
          <c:idx val="3"/>
          <c:order val="3"/>
          <c:tx>
            <c:strRef>
              <c:f>'Cost Curves L-PSH'!$Y$44:$Y$45</c:f>
              <c:strCache>
                <c:ptCount val="2"/>
                <c:pt idx="0">
                  <c:v>$/kW Average Conditions</c:v>
                </c:pt>
                <c:pt idx="1">
                  <c:v>6 Units</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olid"/>
              </a:ln>
              <a:effectLst/>
            </c:spPr>
            <c:trendlineType val="poly"/>
            <c:order val="2"/>
            <c:dispRSqr val="0"/>
            <c:dispEq val="1"/>
            <c:trendlineLbl>
              <c:layout>
                <c:manualLayout>
                  <c:x val="-0.40508384384421048"/>
                  <c:y val="0.1326416036582060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L-PSH'!$U$47:$U$51</c:f>
              <c:numCache>
                <c:formatCode>General</c:formatCode>
                <c:ptCount val="5"/>
                <c:pt idx="0">
                  <c:v>500</c:v>
                </c:pt>
                <c:pt idx="1">
                  <c:v>1000</c:v>
                </c:pt>
                <c:pt idx="2">
                  <c:v>1500</c:v>
                </c:pt>
                <c:pt idx="3">
                  <c:v>2000</c:v>
                </c:pt>
                <c:pt idx="4">
                  <c:v>2250</c:v>
                </c:pt>
              </c:numCache>
            </c:numRef>
          </c:xVal>
          <c:yVal>
            <c:numRef>
              <c:f>'Cost Curves L-PSH'!$Y$47:$Y$51</c:f>
              <c:numCache>
                <c:formatCode>General</c:formatCode>
                <c:ptCount val="5"/>
                <c:pt idx="0">
                  <c:v>48</c:v>
                </c:pt>
                <c:pt idx="1">
                  <c:v>49</c:v>
                </c:pt>
                <c:pt idx="2">
                  <c:v>53</c:v>
                </c:pt>
                <c:pt idx="3">
                  <c:v>56</c:v>
                </c:pt>
                <c:pt idx="4">
                  <c:v>60</c:v>
                </c:pt>
              </c:numCache>
            </c:numRef>
          </c:yVal>
          <c:smooth val="0"/>
          <c:extLst>
            <c:ext xmlns:c16="http://schemas.microsoft.com/office/drawing/2014/chart" uri="{C3380CC4-5D6E-409C-BE32-E72D297353CC}">
              <c16:uniqueId val="{00000007-9CAD-DE4C-AD6F-4805D88705E0}"/>
            </c:ext>
          </c:extLst>
        </c:ser>
        <c:ser>
          <c:idx val="4"/>
          <c:order val="4"/>
          <c:tx>
            <c:strRef>
              <c:f>'Cost Curves L-PSH'!$Z$44:$Z$45</c:f>
              <c:strCache>
                <c:ptCount val="2"/>
                <c:pt idx="0">
                  <c:v>$/kW Adverse Conditions</c:v>
                </c:pt>
                <c:pt idx="1">
                  <c:v>2 Units</c:v>
                </c:pt>
              </c:strCache>
            </c:strRef>
          </c:tx>
          <c:spPr>
            <a:ln w="25400" cap="rnd">
              <a:no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poly"/>
            <c:order val="2"/>
            <c:dispRSqr val="0"/>
            <c:dispEq val="1"/>
            <c:trendlineLbl>
              <c:layout>
                <c:manualLayout>
                  <c:x val="2.5365497299150726E-2"/>
                  <c:y val="0.1646528838079006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L-PSH'!$U$47:$U$51</c:f>
              <c:numCache>
                <c:formatCode>General</c:formatCode>
                <c:ptCount val="5"/>
                <c:pt idx="0">
                  <c:v>500</c:v>
                </c:pt>
                <c:pt idx="1">
                  <c:v>1000</c:v>
                </c:pt>
                <c:pt idx="2">
                  <c:v>1500</c:v>
                </c:pt>
                <c:pt idx="3">
                  <c:v>2000</c:v>
                </c:pt>
                <c:pt idx="4">
                  <c:v>2250</c:v>
                </c:pt>
              </c:numCache>
            </c:numRef>
          </c:xVal>
          <c:yVal>
            <c:numRef>
              <c:f>'Cost Curves L-PSH'!$Z$47:$Z$51</c:f>
              <c:numCache>
                <c:formatCode>General</c:formatCode>
                <c:ptCount val="5"/>
                <c:pt idx="0">
                  <c:v>90</c:v>
                </c:pt>
                <c:pt idx="1">
                  <c:v>90</c:v>
                </c:pt>
                <c:pt idx="2">
                  <c:v>94</c:v>
                </c:pt>
                <c:pt idx="3">
                  <c:v>98</c:v>
                </c:pt>
                <c:pt idx="4">
                  <c:v>101</c:v>
                </c:pt>
              </c:numCache>
            </c:numRef>
          </c:yVal>
          <c:smooth val="0"/>
          <c:extLst>
            <c:ext xmlns:c16="http://schemas.microsoft.com/office/drawing/2014/chart" uri="{C3380CC4-5D6E-409C-BE32-E72D297353CC}">
              <c16:uniqueId val="{00000009-9CAD-DE4C-AD6F-4805D88705E0}"/>
            </c:ext>
          </c:extLst>
        </c:ser>
        <c:ser>
          <c:idx val="5"/>
          <c:order val="5"/>
          <c:tx>
            <c:strRef>
              <c:f>'Cost Curves L-PSH'!$AA$44:$AA$45</c:f>
              <c:strCache>
                <c:ptCount val="2"/>
                <c:pt idx="0">
                  <c:v>$/kW Adverse Conditions</c:v>
                </c:pt>
                <c:pt idx="1">
                  <c:v>3 Units</c:v>
                </c:pt>
              </c:strCache>
            </c:strRef>
          </c:tx>
          <c:spPr>
            <a:ln w="25400" cap="rnd">
              <a:no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poly"/>
            <c:order val="2"/>
            <c:dispRSqr val="0"/>
            <c:dispEq val="1"/>
            <c:trendlineLbl>
              <c:layout>
                <c:manualLayout>
                  <c:x val="1.5454616676790401E-2"/>
                  <c:y val="0.1568107874504709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L-PSH'!$U$47:$U$51</c:f>
              <c:numCache>
                <c:formatCode>General</c:formatCode>
                <c:ptCount val="5"/>
                <c:pt idx="0">
                  <c:v>500</c:v>
                </c:pt>
                <c:pt idx="1">
                  <c:v>1000</c:v>
                </c:pt>
                <c:pt idx="2">
                  <c:v>1500</c:v>
                </c:pt>
                <c:pt idx="3">
                  <c:v>2000</c:v>
                </c:pt>
                <c:pt idx="4">
                  <c:v>2250</c:v>
                </c:pt>
              </c:numCache>
            </c:numRef>
          </c:xVal>
          <c:yVal>
            <c:numRef>
              <c:f>'Cost Curves L-PSH'!$AA$47:$AA$51</c:f>
              <c:numCache>
                <c:formatCode>General</c:formatCode>
                <c:ptCount val="5"/>
                <c:pt idx="0">
                  <c:v>76</c:v>
                </c:pt>
                <c:pt idx="1">
                  <c:v>78</c:v>
                </c:pt>
                <c:pt idx="2">
                  <c:v>82</c:v>
                </c:pt>
                <c:pt idx="3">
                  <c:v>85</c:v>
                </c:pt>
                <c:pt idx="4">
                  <c:v>89</c:v>
                </c:pt>
              </c:numCache>
            </c:numRef>
          </c:yVal>
          <c:smooth val="0"/>
          <c:extLst>
            <c:ext xmlns:c16="http://schemas.microsoft.com/office/drawing/2014/chart" uri="{C3380CC4-5D6E-409C-BE32-E72D297353CC}">
              <c16:uniqueId val="{0000000B-9CAD-DE4C-AD6F-4805D88705E0}"/>
            </c:ext>
          </c:extLst>
        </c:ser>
        <c:ser>
          <c:idx val="6"/>
          <c:order val="6"/>
          <c:tx>
            <c:strRef>
              <c:f>'Cost Curves L-PSH'!$AB$44:$AB$45</c:f>
              <c:strCache>
                <c:ptCount val="2"/>
                <c:pt idx="0">
                  <c:v>$/kW Adverse Conditions</c:v>
                </c:pt>
                <c:pt idx="1">
                  <c:v>4 Units</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trendline>
            <c:spPr>
              <a:ln w="19050" cap="rnd">
                <a:solidFill>
                  <a:schemeClr val="accent1">
                    <a:lumMod val="60000"/>
                  </a:schemeClr>
                </a:solidFill>
                <a:prstDash val="sysDot"/>
              </a:ln>
              <a:effectLst/>
            </c:spPr>
            <c:trendlineType val="poly"/>
            <c:order val="2"/>
            <c:dispRSqr val="0"/>
            <c:dispEq val="1"/>
            <c:trendlineLbl>
              <c:layout>
                <c:manualLayout>
                  <c:x val="2.7239252817602883E-2"/>
                  <c:y val="0.1698751265153211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L-PSH'!$U$47:$U$51</c:f>
              <c:numCache>
                <c:formatCode>General</c:formatCode>
                <c:ptCount val="5"/>
                <c:pt idx="0">
                  <c:v>500</c:v>
                </c:pt>
                <c:pt idx="1">
                  <c:v>1000</c:v>
                </c:pt>
                <c:pt idx="2">
                  <c:v>1500</c:v>
                </c:pt>
                <c:pt idx="3">
                  <c:v>2000</c:v>
                </c:pt>
                <c:pt idx="4">
                  <c:v>2250</c:v>
                </c:pt>
              </c:numCache>
            </c:numRef>
          </c:xVal>
          <c:yVal>
            <c:numRef>
              <c:f>'Cost Curves L-PSH'!$AB$47:$AB$51</c:f>
              <c:numCache>
                <c:formatCode>General</c:formatCode>
                <c:ptCount val="5"/>
                <c:pt idx="0">
                  <c:v>71</c:v>
                </c:pt>
                <c:pt idx="1">
                  <c:v>74</c:v>
                </c:pt>
                <c:pt idx="2">
                  <c:v>75.5</c:v>
                </c:pt>
                <c:pt idx="3">
                  <c:v>80</c:v>
                </c:pt>
                <c:pt idx="4">
                  <c:v>83</c:v>
                </c:pt>
              </c:numCache>
            </c:numRef>
          </c:yVal>
          <c:smooth val="0"/>
          <c:extLst>
            <c:ext xmlns:c16="http://schemas.microsoft.com/office/drawing/2014/chart" uri="{C3380CC4-5D6E-409C-BE32-E72D297353CC}">
              <c16:uniqueId val="{0000000D-9CAD-DE4C-AD6F-4805D88705E0}"/>
            </c:ext>
          </c:extLst>
        </c:ser>
        <c:ser>
          <c:idx val="7"/>
          <c:order val="7"/>
          <c:tx>
            <c:strRef>
              <c:f>'Cost Curves L-PSH'!$AC$44:$AC$45</c:f>
              <c:strCache>
                <c:ptCount val="2"/>
                <c:pt idx="0">
                  <c:v>$/kW Adverse Conditions</c:v>
                </c:pt>
                <c:pt idx="1">
                  <c:v>6 Units</c:v>
                </c:pt>
              </c:strCache>
            </c:strRef>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trendline>
            <c:spPr>
              <a:ln w="19050" cap="rnd">
                <a:solidFill>
                  <a:schemeClr val="accent2">
                    <a:lumMod val="60000"/>
                  </a:schemeClr>
                </a:solidFill>
                <a:prstDash val="sysDot"/>
              </a:ln>
              <a:effectLst/>
            </c:spPr>
            <c:trendlineType val="poly"/>
            <c:order val="2"/>
            <c:dispRSqr val="0"/>
            <c:dispEq val="1"/>
            <c:trendlineLbl>
              <c:layout>
                <c:manualLayout>
                  <c:x val="1.5454616676790401E-2"/>
                  <c:y val="0.1769224191492337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L-PSH'!$U$47:$U$51</c:f>
              <c:numCache>
                <c:formatCode>General</c:formatCode>
                <c:ptCount val="5"/>
                <c:pt idx="0">
                  <c:v>500</c:v>
                </c:pt>
                <c:pt idx="1">
                  <c:v>1000</c:v>
                </c:pt>
                <c:pt idx="2">
                  <c:v>1500</c:v>
                </c:pt>
                <c:pt idx="3">
                  <c:v>2000</c:v>
                </c:pt>
                <c:pt idx="4">
                  <c:v>2250</c:v>
                </c:pt>
              </c:numCache>
            </c:numRef>
          </c:xVal>
          <c:yVal>
            <c:numRef>
              <c:f>'Cost Curves L-PSH'!$AC$47:$AC$51</c:f>
              <c:numCache>
                <c:formatCode>General</c:formatCode>
                <c:ptCount val="5"/>
                <c:pt idx="0">
                  <c:v>64</c:v>
                </c:pt>
                <c:pt idx="1">
                  <c:v>66</c:v>
                </c:pt>
                <c:pt idx="2">
                  <c:v>69</c:v>
                </c:pt>
                <c:pt idx="3">
                  <c:v>74</c:v>
                </c:pt>
                <c:pt idx="4">
                  <c:v>75</c:v>
                </c:pt>
              </c:numCache>
            </c:numRef>
          </c:yVal>
          <c:smooth val="0"/>
          <c:extLst>
            <c:ext xmlns:c16="http://schemas.microsoft.com/office/drawing/2014/chart" uri="{C3380CC4-5D6E-409C-BE32-E72D297353CC}">
              <c16:uniqueId val="{0000000F-9CAD-DE4C-AD6F-4805D88705E0}"/>
            </c:ext>
          </c:extLst>
        </c:ser>
        <c:dLbls>
          <c:showLegendKey val="0"/>
          <c:showVal val="0"/>
          <c:showCatName val="0"/>
          <c:showSerName val="0"/>
          <c:showPercent val="0"/>
          <c:showBubbleSize val="0"/>
        </c:dLbls>
        <c:axId val="1901212879"/>
        <c:axId val="1901684815"/>
      </c:scatterChart>
      <c:valAx>
        <c:axId val="190121287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1684815"/>
        <c:crosses val="autoZero"/>
        <c:crossBetween val="midCat"/>
      </c:valAx>
      <c:valAx>
        <c:axId val="1901684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12128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Surface Powestation Structure Cost $/kW</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L-PSH'!$AF$44:$AF$45</c:f>
              <c:strCache>
                <c:ptCount val="2"/>
                <c:pt idx="0">
                  <c:v>$/kW Average Conditions</c:v>
                </c:pt>
                <c:pt idx="1">
                  <c:v>2 Units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olid"/>
              </a:ln>
              <a:effectLst/>
            </c:spPr>
            <c:trendlineType val="poly"/>
            <c:order val="2"/>
            <c:dispRSqr val="0"/>
            <c:dispEq val="1"/>
            <c:trendlineLbl>
              <c:layout>
                <c:manualLayout>
                  <c:x val="-0.41122728522936636"/>
                  <c:y val="7.583455626671596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L-PSH'!$AE$46:$AE$51</c:f>
              <c:numCache>
                <c:formatCode>General</c:formatCode>
                <c:ptCount val="6"/>
                <c:pt idx="0">
                  <c:v>350</c:v>
                </c:pt>
                <c:pt idx="1">
                  <c:v>500</c:v>
                </c:pt>
                <c:pt idx="2">
                  <c:v>1000</c:v>
                </c:pt>
                <c:pt idx="3">
                  <c:v>1500</c:v>
                </c:pt>
                <c:pt idx="4">
                  <c:v>2000</c:v>
                </c:pt>
                <c:pt idx="5">
                  <c:v>2250</c:v>
                </c:pt>
              </c:numCache>
            </c:numRef>
          </c:xVal>
          <c:yVal>
            <c:numRef>
              <c:f>'Cost Curves L-PSH'!$AF$46:$AF$51</c:f>
              <c:numCache>
                <c:formatCode>General</c:formatCode>
                <c:ptCount val="6"/>
                <c:pt idx="0">
                  <c:v>50</c:v>
                </c:pt>
                <c:pt idx="1">
                  <c:v>46</c:v>
                </c:pt>
                <c:pt idx="2">
                  <c:v>42</c:v>
                </c:pt>
                <c:pt idx="3">
                  <c:v>44</c:v>
                </c:pt>
                <c:pt idx="4">
                  <c:v>45</c:v>
                </c:pt>
                <c:pt idx="5">
                  <c:v>46</c:v>
                </c:pt>
              </c:numCache>
            </c:numRef>
          </c:yVal>
          <c:smooth val="0"/>
          <c:extLst>
            <c:ext xmlns:c16="http://schemas.microsoft.com/office/drawing/2014/chart" uri="{C3380CC4-5D6E-409C-BE32-E72D297353CC}">
              <c16:uniqueId val="{00000001-A6AD-884D-B8DA-928C7DD1D46A}"/>
            </c:ext>
          </c:extLst>
        </c:ser>
        <c:ser>
          <c:idx val="1"/>
          <c:order val="1"/>
          <c:tx>
            <c:strRef>
              <c:f>'Cost Curves L-PSH'!$AG$44:$AG$45</c:f>
              <c:strCache>
                <c:ptCount val="2"/>
                <c:pt idx="0">
                  <c:v>$/kW Average Conditions</c:v>
                </c:pt>
                <c:pt idx="1">
                  <c:v>3 Units</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olid"/>
              </a:ln>
              <a:effectLst/>
            </c:spPr>
            <c:trendlineType val="poly"/>
            <c:order val="2"/>
            <c:dispRSqr val="0"/>
            <c:dispEq val="1"/>
            <c:trendlineLbl>
              <c:layout>
                <c:manualLayout>
                  <c:x val="-0.4059863475637171"/>
                  <c:y val="9.5777967691492258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L-PSH'!$AE$46:$AE$51</c:f>
              <c:numCache>
                <c:formatCode>General</c:formatCode>
                <c:ptCount val="6"/>
                <c:pt idx="0">
                  <c:v>350</c:v>
                </c:pt>
                <c:pt idx="1">
                  <c:v>500</c:v>
                </c:pt>
                <c:pt idx="2">
                  <c:v>1000</c:v>
                </c:pt>
                <c:pt idx="3">
                  <c:v>1500</c:v>
                </c:pt>
                <c:pt idx="4">
                  <c:v>2000</c:v>
                </c:pt>
                <c:pt idx="5">
                  <c:v>2250</c:v>
                </c:pt>
              </c:numCache>
            </c:numRef>
          </c:xVal>
          <c:yVal>
            <c:numRef>
              <c:f>'Cost Curves L-PSH'!$AG$46:$AG$51</c:f>
              <c:numCache>
                <c:formatCode>General</c:formatCode>
                <c:ptCount val="6"/>
                <c:pt idx="0">
                  <c:v>44</c:v>
                </c:pt>
                <c:pt idx="1">
                  <c:v>41.5</c:v>
                </c:pt>
                <c:pt idx="2">
                  <c:v>37</c:v>
                </c:pt>
                <c:pt idx="3">
                  <c:v>40</c:v>
                </c:pt>
                <c:pt idx="4">
                  <c:v>43</c:v>
                </c:pt>
                <c:pt idx="5">
                  <c:v>44</c:v>
                </c:pt>
              </c:numCache>
            </c:numRef>
          </c:yVal>
          <c:smooth val="0"/>
          <c:extLst>
            <c:ext xmlns:c16="http://schemas.microsoft.com/office/drawing/2014/chart" uri="{C3380CC4-5D6E-409C-BE32-E72D297353CC}">
              <c16:uniqueId val="{00000003-A6AD-884D-B8DA-928C7DD1D46A}"/>
            </c:ext>
          </c:extLst>
        </c:ser>
        <c:ser>
          <c:idx val="2"/>
          <c:order val="2"/>
          <c:tx>
            <c:strRef>
              <c:f>'Cost Curves L-PSH'!$AH$44:$AH$45</c:f>
              <c:strCache>
                <c:ptCount val="2"/>
                <c:pt idx="0">
                  <c:v>$/kW Average Conditions</c:v>
                </c:pt>
                <c:pt idx="1">
                  <c:v>4 Units</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olid"/>
              </a:ln>
              <a:effectLst/>
            </c:spPr>
            <c:trendlineType val="poly"/>
            <c:order val="2"/>
            <c:dispRSqr val="0"/>
            <c:dispEq val="1"/>
            <c:trendlineLbl>
              <c:layout>
                <c:manualLayout>
                  <c:x val="-0.4059863475637171"/>
                  <c:y val="0.1110851888227266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L-PSH'!$AE$46:$AE$51</c:f>
              <c:numCache>
                <c:formatCode>General</c:formatCode>
                <c:ptCount val="6"/>
                <c:pt idx="0">
                  <c:v>350</c:v>
                </c:pt>
                <c:pt idx="1">
                  <c:v>500</c:v>
                </c:pt>
                <c:pt idx="2">
                  <c:v>1000</c:v>
                </c:pt>
                <c:pt idx="3">
                  <c:v>1500</c:v>
                </c:pt>
                <c:pt idx="4">
                  <c:v>2000</c:v>
                </c:pt>
                <c:pt idx="5">
                  <c:v>2250</c:v>
                </c:pt>
              </c:numCache>
            </c:numRef>
          </c:xVal>
          <c:yVal>
            <c:numRef>
              <c:f>'Cost Curves L-PSH'!$AH$46:$AH$51</c:f>
              <c:numCache>
                <c:formatCode>General</c:formatCode>
                <c:ptCount val="6"/>
                <c:pt idx="0">
                  <c:v>41</c:v>
                </c:pt>
                <c:pt idx="1">
                  <c:v>38</c:v>
                </c:pt>
                <c:pt idx="2">
                  <c:v>36</c:v>
                </c:pt>
                <c:pt idx="3">
                  <c:v>37.5</c:v>
                </c:pt>
                <c:pt idx="4">
                  <c:v>40</c:v>
                </c:pt>
                <c:pt idx="5">
                  <c:v>41</c:v>
                </c:pt>
              </c:numCache>
            </c:numRef>
          </c:yVal>
          <c:smooth val="0"/>
          <c:extLst>
            <c:ext xmlns:c16="http://schemas.microsoft.com/office/drawing/2014/chart" uri="{C3380CC4-5D6E-409C-BE32-E72D297353CC}">
              <c16:uniqueId val="{00000005-A6AD-884D-B8DA-928C7DD1D46A}"/>
            </c:ext>
          </c:extLst>
        </c:ser>
        <c:ser>
          <c:idx val="3"/>
          <c:order val="3"/>
          <c:tx>
            <c:strRef>
              <c:f>'Cost Curves L-PSH'!$AI$44:$AI$45</c:f>
              <c:strCache>
                <c:ptCount val="2"/>
                <c:pt idx="0">
                  <c:v>$/kW Average Conditions</c:v>
                </c:pt>
                <c:pt idx="1">
                  <c:v>6 Units</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olid"/>
              </a:ln>
              <a:effectLst/>
            </c:spPr>
            <c:trendlineType val="poly"/>
            <c:order val="2"/>
            <c:dispRSqr val="0"/>
            <c:dispEq val="1"/>
            <c:trendlineLbl>
              <c:layout>
                <c:manualLayout>
                  <c:x val="-0.40074540989806789"/>
                  <c:y val="0.1297217214881875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L-PSH'!$AE$46:$AE$51</c:f>
              <c:numCache>
                <c:formatCode>General</c:formatCode>
                <c:ptCount val="6"/>
                <c:pt idx="0">
                  <c:v>350</c:v>
                </c:pt>
                <c:pt idx="1">
                  <c:v>500</c:v>
                </c:pt>
                <c:pt idx="2">
                  <c:v>1000</c:v>
                </c:pt>
                <c:pt idx="3">
                  <c:v>1500</c:v>
                </c:pt>
                <c:pt idx="4">
                  <c:v>2000</c:v>
                </c:pt>
                <c:pt idx="5">
                  <c:v>2250</c:v>
                </c:pt>
              </c:numCache>
            </c:numRef>
          </c:xVal>
          <c:yVal>
            <c:numRef>
              <c:f>'Cost Curves L-PSH'!$AI$46:$AI$51</c:f>
              <c:numCache>
                <c:formatCode>General</c:formatCode>
                <c:ptCount val="6"/>
                <c:pt idx="0">
                  <c:v>38</c:v>
                </c:pt>
                <c:pt idx="1">
                  <c:v>36</c:v>
                </c:pt>
                <c:pt idx="2">
                  <c:v>34.5</c:v>
                </c:pt>
                <c:pt idx="3">
                  <c:v>36</c:v>
                </c:pt>
                <c:pt idx="4">
                  <c:v>38</c:v>
                </c:pt>
                <c:pt idx="5">
                  <c:v>38.5</c:v>
                </c:pt>
              </c:numCache>
            </c:numRef>
          </c:yVal>
          <c:smooth val="0"/>
          <c:extLst>
            <c:ext xmlns:c16="http://schemas.microsoft.com/office/drawing/2014/chart" uri="{C3380CC4-5D6E-409C-BE32-E72D297353CC}">
              <c16:uniqueId val="{00000007-A6AD-884D-B8DA-928C7DD1D46A}"/>
            </c:ext>
          </c:extLst>
        </c:ser>
        <c:ser>
          <c:idx val="4"/>
          <c:order val="4"/>
          <c:tx>
            <c:strRef>
              <c:f>'Cost Curves L-PSH'!$AJ$44:$AJ$45</c:f>
              <c:strCache>
                <c:ptCount val="2"/>
                <c:pt idx="0">
                  <c:v>$/kW Adverse Conditions</c:v>
                </c:pt>
                <c:pt idx="1">
                  <c:v>2 Units</c:v>
                </c:pt>
              </c:strCache>
            </c:strRef>
          </c:tx>
          <c:spPr>
            <a:ln w="25400" cap="rnd">
              <a:no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poly"/>
            <c:order val="2"/>
            <c:dispRSqr val="0"/>
            <c:dispEq val="1"/>
            <c:trendlineLbl>
              <c:layout>
                <c:manualLayout>
                  <c:x val="2.1150072186694579E-2"/>
                  <c:y val="0.1553613910251435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L-PSH'!$AE$46:$AE$51</c:f>
              <c:numCache>
                <c:formatCode>General</c:formatCode>
                <c:ptCount val="6"/>
                <c:pt idx="0">
                  <c:v>350</c:v>
                </c:pt>
                <c:pt idx="1">
                  <c:v>500</c:v>
                </c:pt>
                <c:pt idx="2">
                  <c:v>1000</c:v>
                </c:pt>
                <c:pt idx="3">
                  <c:v>1500</c:v>
                </c:pt>
                <c:pt idx="4">
                  <c:v>2000</c:v>
                </c:pt>
                <c:pt idx="5">
                  <c:v>2250</c:v>
                </c:pt>
              </c:numCache>
            </c:numRef>
          </c:xVal>
          <c:yVal>
            <c:numRef>
              <c:f>'Cost Curves L-PSH'!$AJ$46:$AJ$51</c:f>
              <c:numCache>
                <c:formatCode>General</c:formatCode>
                <c:ptCount val="6"/>
                <c:pt idx="0">
                  <c:v>73</c:v>
                </c:pt>
                <c:pt idx="1">
                  <c:v>70</c:v>
                </c:pt>
                <c:pt idx="2">
                  <c:v>64</c:v>
                </c:pt>
                <c:pt idx="3">
                  <c:v>62</c:v>
                </c:pt>
                <c:pt idx="4">
                  <c:v>64</c:v>
                </c:pt>
                <c:pt idx="5">
                  <c:v>66</c:v>
                </c:pt>
              </c:numCache>
            </c:numRef>
          </c:yVal>
          <c:smooth val="0"/>
          <c:extLst>
            <c:ext xmlns:c16="http://schemas.microsoft.com/office/drawing/2014/chart" uri="{C3380CC4-5D6E-409C-BE32-E72D297353CC}">
              <c16:uniqueId val="{00000009-A6AD-884D-B8DA-928C7DD1D46A}"/>
            </c:ext>
          </c:extLst>
        </c:ser>
        <c:ser>
          <c:idx val="5"/>
          <c:order val="5"/>
          <c:tx>
            <c:strRef>
              <c:f>'Cost Curves L-PSH'!$AK$44:$AK$45</c:f>
              <c:strCache>
                <c:ptCount val="2"/>
                <c:pt idx="0">
                  <c:v>$/kW Adverse Conditions</c:v>
                </c:pt>
                <c:pt idx="1">
                  <c:v>3 Units</c:v>
                </c:pt>
              </c:strCache>
            </c:strRef>
          </c:tx>
          <c:spPr>
            <a:ln w="25400" cap="rnd">
              <a:no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poly"/>
            <c:order val="2"/>
            <c:dispRSqr val="0"/>
            <c:dispEq val="1"/>
            <c:trendlineLbl>
              <c:layout>
                <c:manualLayout>
                  <c:x val="2.1150072186694579E-2"/>
                  <c:y val="0.1461975874807209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L-PSH'!$AE$46:$AE$51</c:f>
              <c:numCache>
                <c:formatCode>General</c:formatCode>
                <c:ptCount val="6"/>
                <c:pt idx="0">
                  <c:v>350</c:v>
                </c:pt>
                <c:pt idx="1">
                  <c:v>500</c:v>
                </c:pt>
                <c:pt idx="2">
                  <c:v>1000</c:v>
                </c:pt>
                <c:pt idx="3">
                  <c:v>1500</c:v>
                </c:pt>
                <c:pt idx="4">
                  <c:v>2000</c:v>
                </c:pt>
                <c:pt idx="5">
                  <c:v>2250</c:v>
                </c:pt>
              </c:numCache>
            </c:numRef>
          </c:xVal>
          <c:yVal>
            <c:numRef>
              <c:f>'Cost Curves L-PSH'!$AK$46:$AK$51</c:f>
              <c:numCache>
                <c:formatCode>General</c:formatCode>
                <c:ptCount val="6"/>
                <c:pt idx="0">
                  <c:v>61.5</c:v>
                </c:pt>
                <c:pt idx="1">
                  <c:v>59</c:v>
                </c:pt>
                <c:pt idx="2">
                  <c:v>55.5</c:v>
                </c:pt>
                <c:pt idx="3">
                  <c:v>55</c:v>
                </c:pt>
                <c:pt idx="4">
                  <c:v>56</c:v>
                </c:pt>
                <c:pt idx="5">
                  <c:v>58</c:v>
                </c:pt>
              </c:numCache>
            </c:numRef>
          </c:yVal>
          <c:smooth val="0"/>
          <c:extLst>
            <c:ext xmlns:c16="http://schemas.microsoft.com/office/drawing/2014/chart" uri="{C3380CC4-5D6E-409C-BE32-E72D297353CC}">
              <c16:uniqueId val="{0000000B-A6AD-884D-B8DA-928C7DD1D46A}"/>
            </c:ext>
          </c:extLst>
        </c:ser>
        <c:ser>
          <c:idx val="6"/>
          <c:order val="6"/>
          <c:tx>
            <c:strRef>
              <c:f>'Cost Curves L-PSH'!$AL$44:$AL$45</c:f>
              <c:strCache>
                <c:ptCount val="2"/>
                <c:pt idx="0">
                  <c:v>$/kW Adverse Conditions</c:v>
                </c:pt>
                <c:pt idx="1">
                  <c:v>4 Units</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trendline>
            <c:spPr>
              <a:ln w="19050" cap="rnd">
                <a:solidFill>
                  <a:schemeClr val="accent1">
                    <a:lumMod val="60000"/>
                  </a:schemeClr>
                </a:solidFill>
                <a:prstDash val="sysDot"/>
              </a:ln>
              <a:effectLst/>
            </c:spPr>
            <c:trendlineType val="poly"/>
            <c:order val="2"/>
            <c:dispRSqr val="0"/>
            <c:dispEq val="1"/>
            <c:trendlineLbl>
              <c:layout>
                <c:manualLayout>
                  <c:x val="1.1821203141838963E-2"/>
                  <c:y val="0.1613245608355192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L-PSH'!$AE$46:$AE$51</c:f>
              <c:numCache>
                <c:formatCode>General</c:formatCode>
                <c:ptCount val="6"/>
                <c:pt idx="0">
                  <c:v>350</c:v>
                </c:pt>
                <c:pt idx="1">
                  <c:v>500</c:v>
                </c:pt>
                <c:pt idx="2">
                  <c:v>1000</c:v>
                </c:pt>
                <c:pt idx="3">
                  <c:v>1500</c:v>
                </c:pt>
                <c:pt idx="4">
                  <c:v>2000</c:v>
                </c:pt>
                <c:pt idx="5">
                  <c:v>2250</c:v>
                </c:pt>
              </c:numCache>
            </c:numRef>
          </c:xVal>
          <c:yVal>
            <c:numRef>
              <c:f>'Cost Curves L-PSH'!$AL$46:$AL$51</c:f>
              <c:numCache>
                <c:formatCode>General</c:formatCode>
                <c:ptCount val="6"/>
                <c:pt idx="0">
                  <c:v>56</c:v>
                </c:pt>
                <c:pt idx="1">
                  <c:v>55</c:v>
                </c:pt>
                <c:pt idx="2">
                  <c:v>51</c:v>
                </c:pt>
                <c:pt idx="3">
                  <c:v>50</c:v>
                </c:pt>
                <c:pt idx="4">
                  <c:v>53</c:v>
                </c:pt>
                <c:pt idx="5">
                  <c:v>55</c:v>
                </c:pt>
              </c:numCache>
            </c:numRef>
          </c:yVal>
          <c:smooth val="0"/>
          <c:extLst>
            <c:ext xmlns:c16="http://schemas.microsoft.com/office/drawing/2014/chart" uri="{C3380CC4-5D6E-409C-BE32-E72D297353CC}">
              <c16:uniqueId val="{0000000D-A6AD-884D-B8DA-928C7DD1D46A}"/>
            </c:ext>
          </c:extLst>
        </c:ser>
        <c:ser>
          <c:idx val="7"/>
          <c:order val="7"/>
          <c:tx>
            <c:strRef>
              <c:f>'Cost Curves L-PSH'!$AM$44:$AM$45</c:f>
              <c:strCache>
                <c:ptCount val="2"/>
                <c:pt idx="0">
                  <c:v>$/kW Adverse Conditions</c:v>
                </c:pt>
                <c:pt idx="1">
                  <c:v>6 Units</c:v>
                </c:pt>
              </c:strCache>
            </c:strRef>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trendline>
            <c:spPr>
              <a:ln w="19050" cap="rnd">
                <a:solidFill>
                  <a:schemeClr val="accent2">
                    <a:lumMod val="60000"/>
                  </a:schemeClr>
                </a:solidFill>
                <a:prstDash val="sysDot"/>
              </a:ln>
              <a:effectLst/>
            </c:spPr>
            <c:trendlineType val="poly"/>
            <c:order val="2"/>
            <c:dispRSqr val="0"/>
            <c:dispEq val="1"/>
            <c:trendlineLbl>
              <c:layout>
                <c:manualLayout>
                  <c:x val="1.1821203141838963E-2"/>
                  <c:y val="0.1688358184954319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L-PSH'!$AE$46:$AE$51</c:f>
              <c:numCache>
                <c:formatCode>General</c:formatCode>
                <c:ptCount val="6"/>
                <c:pt idx="0">
                  <c:v>350</c:v>
                </c:pt>
                <c:pt idx="1">
                  <c:v>500</c:v>
                </c:pt>
                <c:pt idx="2">
                  <c:v>1000</c:v>
                </c:pt>
                <c:pt idx="3">
                  <c:v>1500</c:v>
                </c:pt>
                <c:pt idx="4">
                  <c:v>2000</c:v>
                </c:pt>
                <c:pt idx="5">
                  <c:v>2250</c:v>
                </c:pt>
              </c:numCache>
            </c:numRef>
          </c:xVal>
          <c:yVal>
            <c:numRef>
              <c:f>'Cost Curves L-PSH'!$AM$46:$AM$51</c:f>
              <c:numCache>
                <c:formatCode>General</c:formatCode>
                <c:ptCount val="6"/>
                <c:pt idx="0">
                  <c:v>50</c:v>
                </c:pt>
                <c:pt idx="1">
                  <c:v>48</c:v>
                </c:pt>
                <c:pt idx="2">
                  <c:v>46</c:v>
                </c:pt>
                <c:pt idx="3">
                  <c:v>47</c:v>
                </c:pt>
                <c:pt idx="4">
                  <c:v>49</c:v>
                </c:pt>
                <c:pt idx="5">
                  <c:v>50</c:v>
                </c:pt>
              </c:numCache>
            </c:numRef>
          </c:yVal>
          <c:smooth val="0"/>
          <c:extLst>
            <c:ext xmlns:c16="http://schemas.microsoft.com/office/drawing/2014/chart" uri="{C3380CC4-5D6E-409C-BE32-E72D297353CC}">
              <c16:uniqueId val="{0000000F-A6AD-884D-B8DA-928C7DD1D46A}"/>
            </c:ext>
          </c:extLst>
        </c:ser>
        <c:dLbls>
          <c:showLegendKey val="0"/>
          <c:showVal val="0"/>
          <c:showCatName val="0"/>
          <c:showSerName val="0"/>
          <c:showPercent val="0"/>
          <c:showBubbleSize val="0"/>
        </c:dLbls>
        <c:axId val="1897995775"/>
        <c:axId val="1914758191"/>
      </c:scatterChart>
      <c:valAx>
        <c:axId val="189799577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4758191"/>
        <c:crosses val="autoZero"/>
        <c:crossBetween val="midCat"/>
      </c:valAx>
      <c:valAx>
        <c:axId val="19147581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79957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baseline="0">
                <a:solidFill>
                  <a:sysClr val="windowText" lastClr="000000">
                    <a:lumMod val="65000"/>
                    <a:lumOff val="35000"/>
                  </a:sysClr>
                </a:solidFill>
              </a:rPr>
              <a:t>Dam Unit Volume per Crest Length, CY/FT x 1000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L-PSH'!$E$86</c:f>
              <c:strCache>
                <c:ptCount val="1"/>
                <c:pt idx="0">
                  <c:v>Unit Cost $/CY</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layout>
                <c:manualLayout>
                  <c:x val="-0.21071325199309429"/>
                  <c:y val="0.2484566829002972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L-PSH'!$A$87:$A$94</c:f>
              <c:numCache>
                <c:formatCode>General</c:formatCode>
                <c:ptCount val="8"/>
                <c:pt idx="0">
                  <c:v>25</c:v>
                </c:pt>
                <c:pt idx="1">
                  <c:v>50</c:v>
                </c:pt>
                <c:pt idx="2">
                  <c:v>100</c:v>
                </c:pt>
                <c:pt idx="3">
                  <c:v>150</c:v>
                </c:pt>
                <c:pt idx="4">
                  <c:v>200</c:v>
                </c:pt>
                <c:pt idx="5">
                  <c:v>250</c:v>
                </c:pt>
                <c:pt idx="6">
                  <c:v>300</c:v>
                </c:pt>
                <c:pt idx="7">
                  <c:v>350</c:v>
                </c:pt>
              </c:numCache>
            </c:numRef>
          </c:xVal>
          <c:yVal>
            <c:numRef>
              <c:f>'Cost Curves L-PSH'!$B$87:$B$94</c:f>
              <c:numCache>
                <c:formatCode>General</c:formatCode>
                <c:ptCount val="8"/>
                <c:pt idx="0">
                  <c:v>0.2</c:v>
                </c:pt>
                <c:pt idx="1">
                  <c:v>0.5</c:v>
                </c:pt>
                <c:pt idx="2">
                  <c:v>1.4</c:v>
                </c:pt>
                <c:pt idx="3">
                  <c:v>2.7</c:v>
                </c:pt>
                <c:pt idx="4">
                  <c:v>4.4000000000000004</c:v>
                </c:pt>
                <c:pt idx="5">
                  <c:v>6.7</c:v>
                </c:pt>
                <c:pt idx="6">
                  <c:v>9.4</c:v>
                </c:pt>
                <c:pt idx="7">
                  <c:v>12.5</c:v>
                </c:pt>
              </c:numCache>
            </c:numRef>
          </c:yVal>
          <c:smooth val="0"/>
          <c:extLst>
            <c:ext xmlns:c16="http://schemas.microsoft.com/office/drawing/2014/chart" uri="{C3380CC4-5D6E-409C-BE32-E72D297353CC}">
              <c16:uniqueId val="{00000001-5864-F840-95B9-6089046DCB4B}"/>
            </c:ext>
          </c:extLst>
        </c:ser>
        <c:dLbls>
          <c:showLegendKey val="0"/>
          <c:showVal val="0"/>
          <c:showCatName val="0"/>
          <c:showSerName val="0"/>
          <c:showPercent val="0"/>
          <c:showBubbleSize val="0"/>
        </c:dLbls>
        <c:axId val="1916112255"/>
        <c:axId val="1916460879"/>
      </c:scatterChart>
      <c:valAx>
        <c:axId val="191611225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 Dam Height</a:t>
                </a:r>
                <a:r>
                  <a:rPr lang="en-US" baseline="0"/>
                  <a:t> in ft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6460879"/>
        <c:crosses val="autoZero"/>
        <c:crossBetween val="midCat"/>
      </c:valAx>
      <c:valAx>
        <c:axId val="19164608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Unit Volume, CY/FT x 1000</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611225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 of 1 </a:t>
            </a:r>
            <a:r>
              <a:rPr lang="en-US" baseline="0"/>
              <a:t>Intake, $ Million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L-PSH'!$L$86</c:f>
              <c:strCache>
                <c:ptCount val="1"/>
                <c:pt idx="0">
                  <c:v>Horizontal Intake</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L-PSH'!$K$87:$K$92</c:f>
              <c:numCache>
                <c:formatCode>General</c:formatCode>
                <c:ptCount val="6"/>
                <c:pt idx="0">
                  <c:v>10</c:v>
                </c:pt>
                <c:pt idx="1">
                  <c:v>15</c:v>
                </c:pt>
                <c:pt idx="2">
                  <c:v>20</c:v>
                </c:pt>
                <c:pt idx="3">
                  <c:v>25</c:v>
                </c:pt>
                <c:pt idx="4">
                  <c:v>30</c:v>
                </c:pt>
                <c:pt idx="5">
                  <c:v>35</c:v>
                </c:pt>
              </c:numCache>
            </c:numRef>
          </c:xVal>
          <c:yVal>
            <c:numRef>
              <c:f>'Cost Curves L-PSH'!$L$87:$L$92</c:f>
              <c:numCache>
                <c:formatCode>General</c:formatCode>
                <c:ptCount val="6"/>
                <c:pt idx="0">
                  <c:v>1.3</c:v>
                </c:pt>
                <c:pt idx="1">
                  <c:v>2.5</c:v>
                </c:pt>
                <c:pt idx="2">
                  <c:v>4.2</c:v>
                </c:pt>
                <c:pt idx="3">
                  <c:v>6.4</c:v>
                </c:pt>
                <c:pt idx="4">
                  <c:v>9.6</c:v>
                </c:pt>
                <c:pt idx="5">
                  <c:v>13.9</c:v>
                </c:pt>
              </c:numCache>
            </c:numRef>
          </c:yVal>
          <c:smooth val="0"/>
          <c:extLst>
            <c:ext xmlns:c16="http://schemas.microsoft.com/office/drawing/2014/chart" uri="{C3380CC4-5D6E-409C-BE32-E72D297353CC}">
              <c16:uniqueId val="{00000001-6E49-F04B-AA1A-938EFC564117}"/>
            </c:ext>
          </c:extLst>
        </c:ser>
        <c:ser>
          <c:idx val="1"/>
          <c:order val="1"/>
          <c:tx>
            <c:strRef>
              <c:f>'Cost Curves L-PSH'!$M$86</c:f>
              <c:strCache>
                <c:ptCount val="1"/>
                <c:pt idx="0">
                  <c:v>Vertical Intake</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L-PSH'!$K$87:$K$92</c:f>
              <c:numCache>
                <c:formatCode>General</c:formatCode>
                <c:ptCount val="6"/>
                <c:pt idx="0">
                  <c:v>10</c:v>
                </c:pt>
                <c:pt idx="1">
                  <c:v>15</c:v>
                </c:pt>
                <c:pt idx="2">
                  <c:v>20</c:v>
                </c:pt>
                <c:pt idx="3">
                  <c:v>25</c:v>
                </c:pt>
                <c:pt idx="4">
                  <c:v>30</c:v>
                </c:pt>
                <c:pt idx="5">
                  <c:v>35</c:v>
                </c:pt>
              </c:numCache>
            </c:numRef>
          </c:xVal>
          <c:yVal>
            <c:numRef>
              <c:f>'Cost Curves L-PSH'!$M$87:$M$92</c:f>
              <c:numCache>
                <c:formatCode>General</c:formatCode>
                <c:ptCount val="6"/>
                <c:pt idx="0">
                  <c:v>0.2</c:v>
                </c:pt>
                <c:pt idx="1">
                  <c:v>0.45</c:v>
                </c:pt>
                <c:pt idx="2">
                  <c:v>0.9</c:v>
                </c:pt>
                <c:pt idx="3">
                  <c:v>1.3</c:v>
                </c:pt>
                <c:pt idx="4">
                  <c:v>2.2999999999999998</c:v>
                </c:pt>
                <c:pt idx="5">
                  <c:v>3.4</c:v>
                </c:pt>
              </c:numCache>
            </c:numRef>
          </c:yVal>
          <c:smooth val="0"/>
          <c:extLst>
            <c:ext xmlns:c16="http://schemas.microsoft.com/office/drawing/2014/chart" uri="{C3380CC4-5D6E-409C-BE32-E72D297353CC}">
              <c16:uniqueId val="{00000003-6E49-F04B-AA1A-938EFC564117}"/>
            </c:ext>
          </c:extLst>
        </c:ser>
        <c:dLbls>
          <c:showLegendKey val="0"/>
          <c:showVal val="0"/>
          <c:showCatName val="0"/>
          <c:showSerName val="0"/>
          <c:showPercent val="0"/>
          <c:showBubbleSize val="0"/>
        </c:dLbls>
        <c:axId val="1949078559"/>
        <c:axId val="1895888895"/>
      </c:scatterChart>
      <c:valAx>
        <c:axId val="19490785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Water Conductor Diamter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5888895"/>
        <c:crosses val="autoZero"/>
        <c:crossBetween val="midCat"/>
      </c:valAx>
      <c:valAx>
        <c:axId val="18958888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MM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90785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Concrete Lined Water Conductor Cost $/LF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L-PSH'!$V$86:$V$87</c:f>
              <c:strCache>
                <c:ptCount val="2"/>
                <c:pt idx="0">
                  <c:v>$/LF Average Tunneling Conditions</c:v>
                </c:pt>
                <c:pt idx="1">
                  <c:v>1/2 Mile</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olid"/>
              </a:ln>
              <a:effectLst/>
            </c:spPr>
            <c:trendlineType val="poly"/>
            <c:order val="2"/>
            <c:dispRSqr val="0"/>
            <c:dispEq val="1"/>
            <c:trendlineLbl>
              <c:layout>
                <c:manualLayout>
                  <c:x val="8.2482227227692911E-2"/>
                  <c:y val="6.252947473789487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L-PSH'!$U$88:$U$93</c:f>
              <c:numCache>
                <c:formatCode>General</c:formatCode>
                <c:ptCount val="6"/>
                <c:pt idx="0">
                  <c:v>10</c:v>
                </c:pt>
                <c:pt idx="1">
                  <c:v>15</c:v>
                </c:pt>
                <c:pt idx="2">
                  <c:v>20</c:v>
                </c:pt>
                <c:pt idx="3">
                  <c:v>25</c:v>
                </c:pt>
                <c:pt idx="4">
                  <c:v>30</c:v>
                </c:pt>
                <c:pt idx="5">
                  <c:v>35</c:v>
                </c:pt>
              </c:numCache>
            </c:numRef>
          </c:xVal>
          <c:yVal>
            <c:numRef>
              <c:f>'Cost Curves L-PSH'!$V$88:$V$93</c:f>
              <c:numCache>
                <c:formatCode>General</c:formatCode>
                <c:ptCount val="6"/>
                <c:pt idx="0">
                  <c:v>1000</c:v>
                </c:pt>
                <c:pt idx="1">
                  <c:v>1500</c:v>
                </c:pt>
                <c:pt idx="2">
                  <c:v>2200</c:v>
                </c:pt>
                <c:pt idx="3">
                  <c:v>3200</c:v>
                </c:pt>
                <c:pt idx="4">
                  <c:v>4400</c:v>
                </c:pt>
                <c:pt idx="5">
                  <c:v>5600</c:v>
                </c:pt>
              </c:numCache>
            </c:numRef>
          </c:yVal>
          <c:smooth val="0"/>
          <c:extLst>
            <c:ext xmlns:c16="http://schemas.microsoft.com/office/drawing/2014/chart" uri="{C3380CC4-5D6E-409C-BE32-E72D297353CC}">
              <c16:uniqueId val="{00000001-49AF-FF41-BA11-EA7EE682E86B}"/>
            </c:ext>
          </c:extLst>
        </c:ser>
        <c:ser>
          <c:idx val="1"/>
          <c:order val="1"/>
          <c:tx>
            <c:strRef>
              <c:f>'Cost Curves L-PSH'!$W$86:$W$87</c:f>
              <c:strCache>
                <c:ptCount val="2"/>
                <c:pt idx="0">
                  <c:v>$/LF Average Tunneling Conditions</c:v>
                </c:pt>
                <c:pt idx="1">
                  <c:v>1 Mile</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olid"/>
              </a:ln>
              <a:effectLst/>
            </c:spPr>
            <c:trendlineType val="poly"/>
            <c:order val="2"/>
            <c:dispRSqr val="0"/>
            <c:dispEq val="1"/>
            <c:trendlineLbl>
              <c:layout>
                <c:manualLayout>
                  <c:x val="5.1019333545321718E-2"/>
                  <c:y val="9.697770112474513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L-PSH'!$U$88:$U$93</c:f>
              <c:numCache>
                <c:formatCode>General</c:formatCode>
                <c:ptCount val="6"/>
                <c:pt idx="0">
                  <c:v>10</c:v>
                </c:pt>
                <c:pt idx="1">
                  <c:v>15</c:v>
                </c:pt>
                <c:pt idx="2">
                  <c:v>20</c:v>
                </c:pt>
                <c:pt idx="3">
                  <c:v>25</c:v>
                </c:pt>
                <c:pt idx="4">
                  <c:v>30</c:v>
                </c:pt>
                <c:pt idx="5">
                  <c:v>35</c:v>
                </c:pt>
              </c:numCache>
            </c:numRef>
          </c:xVal>
          <c:yVal>
            <c:numRef>
              <c:f>'Cost Curves L-PSH'!$W$88:$W$93</c:f>
              <c:numCache>
                <c:formatCode>General</c:formatCode>
                <c:ptCount val="6"/>
                <c:pt idx="0">
                  <c:v>1200</c:v>
                </c:pt>
                <c:pt idx="1">
                  <c:v>1700</c:v>
                </c:pt>
                <c:pt idx="2">
                  <c:v>2400</c:v>
                </c:pt>
                <c:pt idx="3">
                  <c:v>3400</c:v>
                </c:pt>
                <c:pt idx="4">
                  <c:v>4550</c:v>
                </c:pt>
                <c:pt idx="5">
                  <c:v>5900</c:v>
                </c:pt>
              </c:numCache>
            </c:numRef>
          </c:yVal>
          <c:smooth val="0"/>
          <c:extLst>
            <c:ext xmlns:c16="http://schemas.microsoft.com/office/drawing/2014/chart" uri="{C3380CC4-5D6E-409C-BE32-E72D297353CC}">
              <c16:uniqueId val="{00000003-49AF-FF41-BA11-EA7EE682E86B}"/>
            </c:ext>
          </c:extLst>
        </c:ser>
        <c:ser>
          <c:idx val="2"/>
          <c:order val="2"/>
          <c:tx>
            <c:strRef>
              <c:f>'Cost Curves L-PSH'!$X$86:$X$87</c:f>
              <c:strCache>
                <c:ptCount val="2"/>
                <c:pt idx="0">
                  <c:v>$/LF Average Tunneling Conditions</c:v>
                </c:pt>
                <c:pt idx="1">
                  <c:v>2 Mile</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olid"/>
              </a:ln>
              <a:effectLst/>
            </c:spPr>
            <c:trendlineType val="poly"/>
            <c:order val="2"/>
            <c:dispRSqr val="0"/>
            <c:dispEq val="1"/>
            <c:trendlineLbl>
              <c:layout>
                <c:manualLayout>
                  <c:x val="8.0599484070708688E-2"/>
                  <c:y val="0.1338338913521499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L-PSH'!$U$88:$U$93</c:f>
              <c:numCache>
                <c:formatCode>General</c:formatCode>
                <c:ptCount val="6"/>
                <c:pt idx="0">
                  <c:v>10</c:v>
                </c:pt>
                <c:pt idx="1">
                  <c:v>15</c:v>
                </c:pt>
                <c:pt idx="2">
                  <c:v>20</c:v>
                </c:pt>
                <c:pt idx="3">
                  <c:v>25</c:v>
                </c:pt>
                <c:pt idx="4">
                  <c:v>30</c:v>
                </c:pt>
                <c:pt idx="5">
                  <c:v>35</c:v>
                </c:pt>
              </c:numCache>
            </c:numRef>
          </c:xVal>
          <c:yVal>
            <c:numRef>
              <c:f>'Cost Curves L-PSH'!$X$88:$X$93</c:f>
              <c:numCache>
                <c:formatCode>General</c:formatCode>
                <c:ptCount val="6"/>
                <c:pt idx="0">
                  <c:v>1300</c:v>
                </c:pt>
                <c:pt idx="1">
                  <c:v>1800</c:v>
                </c:pt>
                <c:pt idx="2">
                  <c:v>2500</c:v>
                </c:pt>
                <c:pt idx="3">
                  <c:v>3550</c:v>
                </c:pt>
                <c:pt idx="4">
                  <c:v>4975</c:v>
                </c:pt>
                <c:pt idx="5">
                  <c:v>6450</c:v>
                </c:pt>
              </c:numCache>
            </c:numRef>
          </c:yVal>
          <c:smooth val="0"/>
          <c:extLst>
            <c:ext xmlns:c16="http://schemas.microsoft.com/office/drawing/2014/chart" uri="{C3380CC4-5D6E-409C-BE32-E72D297353CC}">
              <c16:uniqueId val="{00000005-49AF-FF41-BA11-EA7EE682E86B}"/>
            </c:ext>
          </c:extLst>
        </c:ser>
        <c:ser>
          <c:idx val="3"/>
          <c:order val="3"/>
          <c:tx>
            <c:strRef>
              <c:f>'Cost Curves L-PSH'!$Y$86:$Y$87</c:f>
              <c:strCache>
                <c:ptCount val="2"/>
                <c:pt idx="0">
                  <c:v>$/LF Average Tunneling Conditions</c:v>
                </c:pt>
                <c:pt idx="1">
                  <c:v>4 Mile</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olid"/>
              </a:ln>
              <a:effectLst/>
            </c:spPr>
            <c:trendlineType val="poly"/>
            <c:order val="2"/>
            <c:dispRSqr val="0"/>
            <c:dispEq val="1"/>
            <c:trendlineLbl>
              <c:layout>
                <c:manualLayout>
                  <c:x val="7.8002455929761641E-2"/>
                  <c:y val="0.181306855003631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L-PSH'!$U$88:$U$93</c:f>
              <c:numCache>
                <c:formatCode>General</c:formatCode>
                <c:ptCount val="6"/>
                <c:pt idx="0">
                  <c:v>10</c:v>
                </c:pt>
                <c:pt idx="1">
                  <c:v>15</c:v>
                </c:pt>
                <c:pt idx="2">
                  <c:v>20</c:v>
                </c:pt>
                <c:pt idx="3">
                  <c:v>25</c:v>
                </c:pt>
                <c:pt idx="4">
                  <c:v>30</c:v>
                </c:pt>
                <c:pt idx="5">
                  <c:v>35</c:v>
                </c:pt>
              </c:numCache>
            </c:numRef>
          </c:xVal>
          <c:yVal>
            <c:numRef>
              <c:f>'Cost Curves L-PSH'!$Y$88:$Y$93</c:f>
              <c:numCache>
                <c:formatCode>General</c:formatCode>
                <c:ptCount val="6"/>
                <c:pt idx="0">
                  <c:v>1400</c:v>
                </c:pt>
                <c:pt idx="1">
                  <c:v>1900</c:v>
                </c:pt>
                <c:pt idx="2">
                  <c:v>2700</c:v>
                </c:pt>
                <c:pt idx="3">
                  <c:v>3900</c:v>
                </c:pt>
                <c:pt idx="4">
                  <c:v>5450</c:v>
                </c:pt>
                <c:pt idx="5">
                  <c:v>7500</c:v>
                </c:pt>
              </c:numCache>
            </c:numRef>
          </c:yVal>
          <c:smooth val="0"/>
          <c:extLst>
            <c:ext xmlns:c16="http://schemas.microsoft.com/office/drawing/2014/chart" uri="{C3380CC4-5D6E-409C-BE32-E72D297353CC}">
              <c16:uniqueId val="{00000007-49AF-FF41-BA11-EA7EE682E86B}"/>
            </c:ext>
          </c:extLst>
        </c:ser>
        <c:ser>
          <c:idx val="4"/>
          <c:order val="4"/>
          <c:tx>
            <c:strRef>
              <c:f>'Cost Curves L-PSH'!$Z$86:$Z$87</c:f>
              <c:strCache>
                <c:ptCount val="2"/>
                <c:pt idx="0">
                  <c:v>$/LF Poor Tunneling Conditions</c:v>
                </c:pt>
                <c:pt idx="1">
                  <c:v>1/2 Mile</c:v>
                </c:pt>
              </c:strCache>
            </c:strRef>
          </c:tx>
          <c:spPr>
            <a:ln w="25400" cap="rnd">
              <a:no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poly"/>
            <c:order val="2"/>
            <c:dispRSqr val="0"/>
            <c:dispEq val="1"/>
            <c:trendlineLbl>
              <c:layout>
                <c:manualLayout>
                  <c:x val="-0.20868348054938393"/>
                  <c:y val="-6.859111078850384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L-PSH'!$U$88:$U$93</c:f>
              <c:numCache>
                <c:formatCode>General</c:formatCode>
                <c:ptCount val="6"/>
                <c:pt idx="0">
                  <c:v>10</c:v>
                </c:pt>
                <c:pt idx="1">
                  <c:v>15</c:v>
                </c:pt>
                <c:pt idx="2">
                  <c:v>20</c:v>
                </c:pt>
                <c:pt idx="3">
                  <c:v>25</c:v>
                </c:pt>
                <c:pt idx="4">
                  <c:v>30</c:v>
                </c:pt>
                <c:pt idx="5">
                  <c:v>35</c:v>
                </c:pt>
              </c:numCache>
            </c:numRef>
          </c:xVal>
          <c:yVal>
            <c:numRef>
              <c:f>'Cost Curves L-PSH'!$Z$88:$Z$93</c:f>
              <c:numCache>
                <c:formatCode>General</c:formatCode>
                <c:ptCount val="6"/>
                <c:pt idx="0">
                  <c:v>1400</c:v>
                </c:pt>
                <c:pt idx="1">
                  <c:v>2200</c:v>
                </c:pt>
                <c:pt idx="2">
                  <c:v>3200</c:v>
                </c:pt>
                <c:pt idx="3">
                  <c:v>4600</c:v>
                </c:pt>
                <c:pt idx="4">
                  <c:v>6500</c:v>
                </c:pt>
                <c:pt idx="5">
                  <c:v>8450</c:v>
                </c:pt>
              </c:numCache>
            </c:numRef>
          </c:yVal>
          <c:smooth val="0"/>
          <c:extLst>
            <c:ext xmlns:c16="http://schemas.microsoft.com/office/drawing/2014/chart" uri="{C3380CC4-5D6E-409C-BE32-E72D297353CC}">
              <c16:uniqueId val="{00000009-49AF-FF41-BA11-EA7EE682E86B}"/>
            </c:ext>
          </c:extLst>
        </c:ser>
        <c:ser>
          <c:idx val="5"/>
          <c:order val="5"/>
          <c:tx>
            <c:strRef>
              <c:f>'Cost Curves L-PSH'!$AA$86:$AA$87</c:f>
              <c:strCache>
                <c:ptCount val="2"/>
                <c:pt idx="0">
                  <c:v>$/LF Poor Tunneling Conditions</c:v>
                </c:pt>
                <c:pt idx="1">
                  <c:v>1 Mile</c:v>
                </c:pt>
              </c:strCache>
            </c:strRef>
          </c:tx>
          <c:spPr>
            <a:ln w="25400" cap="rnd">
              <a:no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poly"/>
            <c:order val="2"/>
            <c:dispRSqr val="0"/>
            <c:dispEq val="1"/>
            <c:trendlineLbl>
              <c:layout>
                <c:manualLayout>
                  <c:x val="-0.20350251165339694"/>
                  <c:y val="-2.866889584426298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L-PSH'!$U$88:$U$93</c:f>
              <c:numCache>
                <c:formatCode>General</c:formatCode>
                <c:ptCount val="6"/>
                <c:pt idx="0">
                  <c:v>10</c:v>
                </c:pt>
                <c:pt idx="1">
                  <c:v>15</c:v>
                </c:pt>
                <c:pt idx="2">
                  <c:v>20</c:v>
                </c:pt>
                <c:pt idx="3">
                  <c:v>25</c:v>
                </c:pt>
                <c:pt idx="4">
                  <c:v>30</c:v>
                </c:pt>
                <c:pt idx="5">
                  <c:v>35</c:v>
                </c:pt>
              </c:numCache>
            </c:numRef>
          </c:xVal>
          <c:yVal>
            <c:numRef>
              <c:f>'Cost Curves L-PSH'!$AA$88:$AA$93</c:f>
              <c:numCache>
                <c:formatCode>General</c:formatCode>
                <c:ptCount val="6"/>
                <c:pt idx="0">
                  <c:v>1500</c:v>
                </c:pt>
                <c:pt idx="1">
                  <c:v>2400</c:v>
                </c:pt>
                <c:pt idx="2">
                  <c:v>3450</c:v>
                </c:pt>
                <c:pt idx="3">
                  <c:v>4900</c:v>
                </c:pt>
                <c:pt idx="4">
                  <c:v>6700</c:v>
                </c:pt>
                <c:pt idx="5">
                  <c:v>8750</c:v>
                </c:pt>
              </c:numCache>
            </c:numRef>
          </c:yVal>
          <c:smooth val="0"/>
          <c:extLst>
            <c:ext xmlns:c16="http://schemas.microsoft.com/office/drawing/2014/chart" uri="{C3380CC4-5D6E-409C-BE32-E72D297353CC}">
              <c16:uniqueId val="{0000000B-49AF-FF41-BA11-EA7EE682E86B}"/>
            </c:ext>
          </c:extLst>
        </c:ser>
        <c:ser>
          <c:idx val="6"/>
          <c:order val="6"/>
          <c:tx>
            <c:strRef>
              <c:f>'Cost Curves L-PSH'!$AB$86:$AB$87</c:f>
              <c:strCache>
                <c:ptCount val="2"/>
                <c:pt idx="0">
                  <c:v>$/LF Poor Tunneling Conditions</c:v>
                </c:pt>
                <c:pt idx="1">
                  <c:v>2 Mile</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trendline>
            <c:spPr>
              <a:ln w="19050" cap="rnd">
                <a:solidFill>
                  <a:schemeClr val="accent1">
                    <a:lumMod val="60000"/>
                  </a:schemeClr>
                </a:solidFill>
                <a:prstDash val="sysDot"/>
              </a:ln>
              <a:effectLst/>
            </c:spPr>
            <c:trendlineType val="poly"/>
            <c:order val="2"/>
            <c:dispRSqr val="0"/>
            <c:dispEq val="1"/>
            <c:trendlineLbl>
              <c:layout>
                <c:manualLayout>
                  <c:x val="-0.17981761500795979"/>
                  <c:y val="2.2237806857828859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L-PSH'!$U$88:$U$93</c:f>
              <c:numCache>
                <c:formatCode>General</c:formatCode>
                <c:ptCount val="6"/>
                <c:pt idx="0">
                  <c:v>10</c:v>
                </c:pt>
                <c:pt idx="1">
                  <c:v>15</c:v>
                </c:pt>
                <c:pt idx="2">
                  <c:v>20</c:v>
                </c:pt>
                <c:pt idx="3">
                  <c:v>25</c:v>
                </c:pt>
                <c:pt idx="4">
                  <c:v>30</c:v>
                </c:pt>
                <c:pt idx="5">
                  <c:v>35</c:v>
                </c:pt>
              </c:numCache>
            </c:numRef>
          </c:xVal>
          <c:yVal>
            <c:numRef>
              <c:f>'Cost Curves L-PSH'!$AB$88:$AB$93</c:f>
              <c:numCache>
                <c:formatCode>General</c:formatCode>
                <c:ptCount val="6"/>
                <c:pt idx="0">
                  <c:v>1550</c:v>
                </c:pt>
                <c:pt idx="1">
                  <c:v>2500</c:v>
                </c:pt>
                <c:pt idx="2">
                  <c:v>3600</c:v>
                </c:pt>
                <c:pt idx="3">
                  <c:v>5200</c:v>
                </c:pt>
                <c:pt idx="4">
                  <c:v>7400</c:v>
                </c:pt>
                <c:pt idx="5">
                  <c:v>9350</c:v>
                </c:pt>
              </c:numCache>
            </c:numRef>
          </c:yVal>
          <c:smooth val="0"/>
          <c:extLst>
            <c:ext xmlns:c16="http://schemas.microsoft.com/office/drawing/2014/chart" uri="{C3380CC4-5D6E-409C-BE32-E72D297353CC}">
              <c16:uniqueId val="{0000000D-49AF-FF41-BA11-EA7EE682E86B}"/>
            </c:ext>
          </c:extLst>
        </c:ser>
        <c:ser>
          <c:idx val="7"/>
          <c:order val="7"/>
          <c:tx>
            <c:strRef>
              <c:f>'Cost Curves L-PSH'!$AC$86:$AC$87</c:f>
              <c:strCache>
                <c:ptCount val="2"/>
                <c:pt idx="0">
                  <c:v>$/LF Poor Tunneling Conditions</c:v>
                </c:pt>
                <c:pt idx="1">
                  <c:v>4 Mile</c:v>
                </c:pt>
              </c:strCache>
            </c:strRef>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trendline>
            <c:spPr>
              <a:ln w="19050" cap="rnd">
                <a:solidFill>
                  <a:schemeClr val="accent2">
                    <a:lumMod val="60000"/>
                  </a:schemeClr>
                </a:solidFill>
                <a:prstDash val="sysDot"/>
              </a:ln>
              <a:effectLst/>
            </c:spPr>
            <c:trendlineType val="poly"/>
            <c:order val="2"/>
            <c:dispRSqr val="0"/>
            <c:dispEq val="1"/>
            <c:trendlineLbl>
              <c:layout>
                <c:manualLayout>
                  <c:x val="-0.17910333002399695"/>
                  <c:y val="8.8072581419820703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L-PSH'!$U$88:$U$93</c:f>
              <c:numCache>
                <c:formatCode>General</c:formatCode>
                <c:ptCount val="6"/>
                <c:pt idx="0">
                  <c:v>10</c:v>
                </c:pt>
                <c:pt idx="1">
                  <c:v>15</c:v>
                </c:pt>
                <c:pt idx="2">
                  <c:v>20</c:v>
                </c:pt>
                <c:pt idx="3">
                  <c:v>25</c:v>
                </c:pt>
                <c:pt idx="4">
                  <c:v>30</c:v>
                </c:pt>
                <c:pt idx="5">
                  <c:v>35</c:v>
                </c:pt>
              </c:numCache>
            </c:numRef>
          </c:xVal>
          <c:yVal>
            <c:numRef>
              <c:f>'Cost Curves L-PSH'!$AC$88:$AC$93</c:f>
              <c:numCache>
                <c:formatCode>General</c:formatCode>
                <c:ptCount val="6"/>
                <c:pt idx="0">
                  <c:v>1600</c:v>
                </c:pt>
                <c:pt idx="1">
                  <c:v>2600</c:v>
                </c:pt>
                <c:pt idx="2">
                  <c:v>3900</c:v>
                </c:pt>
                <c:pt idx="3">
                  <c:v>5600</c:v>
                </c:pt>
                <c:pt idx="4">
                  <c:v>8100</c:v>
                </c:pt>
                <c:pt idx="5">
                  <c:v>11250</c:v>
                </c:pt>
              </c:numCache>
            </c:numRef>
          </c:yVal>
          <c:smooth val="0"/>
          <c:extLst>
            <c:ext xmlns:c16="http://schemas.microsoft.com/office/drawing/2014/chart" uri="{C3380CC4-5D6E-409C-BE32-E72D297353CC}">
              <c16:uniqueId val="{0000000F-49AF-FF41-BA11-EA7EE682E86B}"/>
            </c:ext>
          </c:extLst>
        </c:ser>
        <c:dLbls>
          <c:showLegendKey val="0"/>
          <c:showVal val="0"/>
          <c:showCatName val="0"/>
          <c:showSerName val="0"/>
          <c:showPercent val="0"/>
          <c:showBubbleSize val="0"/>
        </c:dLbls>
        <c:axId val="1897897951"/>
        <c:axId val="1966328783"/>
      </c:scatterChart>
      <c:valAx>
        <c:axId val="189789795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Tunnel Diameter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6328783"/>
        <c:crosses val="autoZero"/>
        <c:crossBetween val="midCat"/>
      </c:valAx>
      <c:valAx>
        <c:axId val="19663287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78979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Vertical Shaft $/LF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L-PSH'!$AF$86</c:f>
              <c:strCache>
                <c:ptCount val="1"/>
                <c:pt idx="0">
                  <c:v>$/LF</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L-PSH'!$AE$87:$AE$92</c:f>
              <c:numCache>
                <c:formatCode>General</c:formatCode>
                <c:ptCount val="6"/>
                <c:pt idx="0">
                  <c:v>10</c:v>
                </c:pt>
                <c:pt idx="1">
                  <c:v>15</c:v>
                </c:pt>
                <c:pt idx="2">
                  <c:v>20</c:v>
                </c:pt>
                <c:pt idx="3">
                  <c:v>25</c:v>
                </c:pt>
                <c:pt idx="4">
                  <c:v>30</c:v>
                </c:pt>
                <c:pt idx="5">
                  <c:v>35</c:v>
                </c:pt>
              </c:numCache>
            </c:numRef>
          </c:xVal>
          <c:yVal>
            <c:numRef>
              <c:f>'Cost Curves L-PSH'!$AF$87:$AF$92</c:f>
              <c:numCache>
                <c:formatCode>General</c:formatCode>
                <c:ptCount val="6"/>
                <c:pt idx="0">
                  <c:v>1950</c:v>
                </c:pt>
                <c:pt idx="1">
                  <c:v>2800</c:v>
                </c:pt>
                <c:pt idx="2">
                  <c:v>3700</c:v>
                </c:pt>
                <c:pt idx="3">
                  <c:v>4700</c:v>
                </c:pt>
                <c:pt idx="4">
                  <c:v>5600</c:v>
                </c:pt>
                <c:pt idx="5">
                  <c:v>6600</c:v>
                </c:pt>
              </c:numCache>
            </c:numRef>
          </c:yVal>
          <c:smooth val="0"/>
          <c:extLst>
            <c:ext xmlns:c16="http://schemas.microsoft.com/office/drawing/2014/chart" uri="{C3380CC4-5D6E-409C-BE32-E72D297353CC}">
              <c16:uniqueId val="{00000001-7977-E14C-8997-DD1F0D3BBE94}"/>
            </c:ext>
          </c:extLst>
        </c:ser>
        <c:dLbls>
          <c:showLegendKey val="0"/>
          <c:showVal val="0"/>
          <c:showCatName val="0"/>
          <c:showSerName val="0"/>
          <c:showPercent val="0"/>
          <c:showBubbleSize val="0"/>
        </c:dLbls>
        <c:axId val="1872552847"/>
        <c:axId val="1900747055"/>
      </c:scatterChart>
      <c:valAx>
        <c:axId val="187255284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Tunnel Diameter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0747055"/>
        <c:crosses val="autoZero"/>
        <c:crossBetween val="midCat"/>
      </c:valAx>
      <c:valAx>
        <c:axId val="19007470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255284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 of Pennstocks and Draft Tube Tunnels $/Ft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L-PSH'!$B$123</c:f>
              <c:strCache>
                <c:ptCount val="1"/>
                <c:pt idx="0">
                  <c:v>500 Ft</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0"/>
            <c:dispEq val="1"/>
            <c:trendlineLbl>
              <c:layout>
                <c:manualLayout>
                  <c:x val="1.9018637522466937E-3"/>
                  <c:y val="0.1625117372859116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L-PSH'!$A$124:$A$129</c:f>
              <c:numCache>
                <c:formatCode>General</c:formatCode>
                <c:ptCount val="6"/>
                <c:pt idx="0">
                  <c:v>5</c:v>
                </c:pt>
                <c:pt idx="1">
                  <c:v>10</c:v>
                </c:pt>
                <c:pt idx="2">
                  <c:v>15</c:v>
                </c:pt>
                <c:pt idx="3">
                  <c:v>20</c:v>
                </c:pt>
                <c:pt idx="4">
                  <c:v>25</c:v>
                </c:pt>
                <c:pt idx="5">
                  <c:v>30</c:v>
                </c:pt>
              </c:numCache>
            </c:numRef>
          </c:xVal>
          <c:yVal>
            <c:numRef>
              <c:f>'Cost Curves L-PSH'!$B$124:$B$129</c:f>
              <c:numCache>
                <c:formatCode>General</c:formatCode>
                <c:ptCount val="6"/>
                <c:pt idx="1">
                  <c:v>2200</c:v>
                </c:pt>
                <c:pt idx="2">
                  <c:v>4100</c:v>
                </c:pt>
                <c:pt idx="3">
                  <c:v>6900</c:v>
                </c:pt>
                <c:pt idx="4">
                  <c:v>10000</c:v>
                </c:pt>
              </c:numCache>
            </c:numRef>
          </c:yVal>
          <c:smooth val="0"/>
          <c:extLst>
            <c:ext xmlns:c16="http://schemas.microsoft.com/office/drawing/2014/chart" uri="{C3380CC4-5D6E-409C-BE32-E72D297353CC}">
              <c16:uniqueId val="{00000001-AF7E-9940-B7AF-70CAB0727AA6}"/>
            </c:ext>
          </c:extLst>
        </c:ser>
        <c:ser>
          <c:idx val="1"/>
          <c:order val="1"/>
          <c:tx>
            <c:strRef>
              <c:f>'Cost Curves L-PSH'!$C$123</c:f>
              <c:strCache>
                <c:ptCount val="1"/>
                <c:pt idx="0">
                  <c:v>1000 Ft</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wer"/>
            <c:dispRSqr val="0"/>
            <c:dispEq val="1"/>
            <c:trendlineLbl>
              <c:layout>
                <c:manualLayout>
                  <c:x val="-5.7899796237255549E-4"/>
                  <c:y val="0.2475000518226808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L-PSH'!$A$124:$A$129</c:f>
              <c:numCache>
                <c:formatCode>General</c:formatCode>
                <c:ptCount val="6"/>
                <c:pt idx="0">
                  <c:v>5</c:v>
                </c:pt>
                <c:pt idx="1">
                  <c:v>10</c:v>
                </c:pt>
                <c:pt idx="2">
                  <c:v>15</c:v>
                </c:pt>
                <c:pt idx="3">
                  <c:v>20</c:v>
                </c:pt>
                <c:pt idx="4">
                  <c:v>25</c:v>
                </c:pt>
                <c:pt idx="5">
                  <c:v>30</c:v>
                </c:pt>
              </c:numCache>
            </c:numRef>
          </c:xVal>
          <c:yVal>
            <c:numRef>
              <c:f>'Cost Curves L-PSH'!$C$124:$C$129</c:f>
              <c:numCache>
                <c:formatCode>General</c:formatCode>
                <c:ptCount val="6"/>
                <c:pt idx="1">
                  <c:v>2400</c:v>
                </c:pt>
                <c:pt idx="2">
                  <c:v>4600</c:v>
                </c:pt>
                <c:pt idx="3">
                  <c:v>7800</c:v>
                </c:pt>
                <c:pt idx="4">
                  <c:v>11700</c:v>
                </c:pt>
              </c:numCache>
            </c:numRef>
          </c:yVal>
          <c:smooth val="0"/>
          <c:extLst>
            <c:ext xmlns:c16="http://schemas.microsoft.com/office/drawing/2014/chart" uri="{C3380CC4-5D6E-409C-BE32-E72D297353CC}">
              <c16:uniqueId val="{00000003-AF7E-9940-B7AF-70CAB0727AA6}"/>
            </c:ext>
          </c:extLst>
        </c:ser>
        <c:ser>
          <c:idx val="2"/>
          <c:order val="2"/>
          <c:tx>
            <c:strRef>
              <c:f>'Cost Curves L-PSH'!$D$123</c:f>
              <c:strCache>
                <c:ptCount val="1"/>
                <c:pt idx="0">
                  <c:v>1500 Ft</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wer"/>
            <c:dispRSqr val="0"/>
            <c:dispEq val="1"/>
            <c:trendlineLbl>
              <c:layout>
                <c:manualLayout>
                  <c:x val="-5.7899796237255549E-4"/>
                  <c:y val="0.4249770767332922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L-PSH'!$A$124:$A$129</c:f>
              <c:numCache>
                <c:formatCode>General</c:formatCode>
                <c:ptCount val="6"/>
                <c:pt idx="0">
                  <c:v>5</c:v>
                </c:pt>
                <c:pt idx="1">
                  <c:v>10</c:v>
                </c:pt>
                <c:pt idx="2">
                  <c:v>15</c:v>
                </c:pt>
                <c:pt idx="3">
                  <c:v>20</c:v>
                </c:pt>
                <c:pt idx="4">
                  <c:v>25</c:v>
                </c:pt>
                <c:pt idx="5">
                  <c:v>30</c:v>
                </c:pt>
              </c:numCache>
            </c:numRef>
          </c:xVal>
          <c:yVal>
            <c:numRef>
              <c:f>'Cost Curves L-PSH'!$D$124:$D$129</c:f>
              <c:numCache>
                <c:formatCode>General</c:formatCode>
                <c:ptCount val="6"/>
                <c:pt idx="1">
                  <c:v>3000</c:v>
                </c:pt>
                <c:pt idx="2">
                  <c:v>6000</c:v>
                </c:pt>
                <c:pt idx="3">
                  <c:v>10300</c:v>
                </c:pt>
                <c:pt idx="4">
                  <c:v>15800</c:v>
                </c:pt>
              </c:numCache>
            </c:numRef>
          </c:yVal>
          <c:smooth val="0"/>
          <c:extLst>
            <c:ext xmlns:c16="http://schemas.microsoft.com/office/drawing/2014/chart" uri="{C3380CC4-5D6E-409C-BE32-E72D297353CC}">
              <c16:uniqueId val="{00000005-AF7E-9940-B7AF-70CAB0727AA6}"/>
            </c:ext>
          </c:extLst>
        </c:ser>
        <c:ser>
          <c:idx val="3"/>
          <c:order val="3"/>
          <c:tx>
            <c:strRef>
              <c:f>'Cost Curves L-PSH'!$E$123</c:f>
              <c:strCache>
                <c:ptCount val="1"/>
                <c:pt idx="0">
                  <c:v>2000 Ft</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wer"/>
            <c:dispRSqr val="0"/>
            <c:dispEq val="1"/>
            <c:trendlineLbl>
              <c:layout>
                <c:manualLayout>
                  <c:x val="-5.5407213916110537E-3"/>
                  <c:y val="0.5922765681653492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L-PSH'!$A$124:$A$129</c:f>
              <c:numCache>
                <c:formatCode>General</c:formatCode>
                <c:ptCount val="6"/>
                <c:pt idx="0">
                  <c:v>5</c:v>
                </c:pt>
                <c:pt idx="1">
                  <c:v>10</c:v>
                </c:pt>
                <c:pt idx="2">
                  <c:v>15</c:v>
                </c:pt>
                <c:pt idx="3">
                  <c:v>20</c:v>
                </c:pt>
                <c:pt idx="4">
                  <c:v>25</c:v>
                </c:pt>
                <c:pt idx="5">
                  <c:v>30</c:v>
                </c:pt>
              </c:numCache>
            </c:numRef>
          </c:xVal>
          <c:yVal>
            <c:numRef>
              <c:f>'Cost Curves L-PSH'!$E$124:$E$129</c:f>
              <c:numCache>
                <c:formatCode>General</c:formatCode>
                <c:ptCount val="6"/>
                <c:pt idx="1">
                  <c:v>3800</c:v>
                </c:pt>
                <c:pt idx="2">
                  <c:v>7600</c:v>
                </c:pt>
                <c:pt idx="3">
                  <c:v>13250</c:v>
                </c:pt>
              </c:numCache>
            </c:numRef>
          </c:yVal>
          <c:smooth val="0"/>
          <c:extLst>
            <c:ext xmlns:c16="http://schemas.microsoft.com/office/drawing/2014/chart" uri="{C3380CC4-5D6E-409C-BE32-E72D297353CC}">
              <c16:uniqueId val="{00000007-AF7E-9940-B7AF-70CAB0727AA6}"/>
            </c:ext>
          </c:extLst>
        </c:ser>
        <c:dLbls>
          <c:showLegendKey val="0"/>
          <c:showVal val="0"/>
          <c:showCatName val="0"/>
          <c:showSerName val="0"/>
          <c:showPercent val="0"/>
          <c:showBubbleSize val="0"/>
        </c:dLbls>
        <c:axId val="1920348847"/>
        <c:axId val="1920017087"/>
      </c:scatterChart>
      <c:valAx>
        <c:axId val="192034884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Penstock Diameter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0017087"/>
        <c:crosses val="autoZero"/>
        <c:crossBetween val="midCat"/>
      </c:valAx>
      <c:valAx>
        <c:axId val="19200170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034884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 of Surface Pennstocks $1000/Ft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L-PSH'!$L$123</c:f>
              <c:strCache>
                <c:ptCount val="1"/>
                <c:pt idx="0">
                  <c:v>300 Ft</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0"/>
            <c:dispEq val="1"/>
            <c:trendlineLbl>
              <c:layout>
                <c:manualLayout>
                  <c:x val="-0.29052918729996546"/>
                  <c:y val="-0.4304200650265394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L-PSH'!$K$124:$K$129</c:f>
              <c:numCache>
                <c:formatCode>General</c:formatCode>
                <c:ptCount val="6"/>
                <c:pt idx="0">
                  <c:v>10</c:v>
                </c:pt>
                <c:pt idx="1">
                  <c:v>15</c:v>
                </c:pt>
                <c:pt idx="2">
                  <c:v>20</c:v>
                </c:pt>
                <c:pt idx="3">
                  <c:v>25</c:v>
                </c:pt>
                <c:pt idx="4">
                  <c:v>30</c:v>
                </c:pt>
                <c:pt idx="5">
                  <c:v>35</c:v>
                </c:pt>
              </c:numCache>
            </c:numRef>
          </c:xVal>
          <c:yVal>
            <c:numRef>
              <c:f>'Cost Curves L-PSH'!$L$124:$L$129</c:f>
              <c:numCache>
                <c:formatCode>General</c:formatCode>
                <c:ptCount val="6"/>
                <c:pt idx="0">
                  <c:v>1.55</c:v>
                </c:pt>
                <c:pt idx="1">
                  <c:v>3.3</c:v>
                </c:pt>
                <c:pt idx="2">
                  <c:v>5.6</c:v>
                </c:pt>
                <c:pt idx="3">
                  <c:v>8.6</c:v>
                </c:pt>
                <c:pt idx="4">
                  <c:v>12.2</c:v>
                </c:pt>
                <c:pt idx="5">
                  <c:v>16.5</c:v>
                </c:pt>
              </c:numCache>
            </c:numRef>
          </c:yVal>
          <c:smooth val="0"/>
          <c:extLst>
            <c:ext xmlns:c16="http://schemas.microsoft.com/office/drawing/2014/chart" uri="{C3380CC4-5D6E-409C-BE32-E72D297353CC}">
              <c16:uniqueId val="{00000001-1A9F-4241-8E20-28B8D2F75E43}"/>
            </c:ext>
          </c:extLst>
        </c:ser>
        <c:ser>
          <c:idx val="1"/>
          <c:order val="1"/>
          <c:tx>
            <c:strRef>
              <c:f>'Cost Curves L-PSH'!$M$123</c:f>
              <c:strCache>
                <c:ptCount val="1"/>
                <c:pt idx="0">
                  <c:v>500 Ft</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wer"/>
            <c:dispRSqr val="0"/>
            <c:dispEq val="1"/>
            <c:trendlineLbl>
              <c:layout>
                <c:manualLayout>
                  <c:x val="-0.26660381557152335"/>
                  <c:y val="-0.3156122753026404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L-PSH'!$K$124:$K$129</c:f>
              <c:numCache>
                <c:formatCode>General</c:formatCode>
                <c:ptCount val="6"/>
                <c:pt idx="0">
                  <c:v>10</c:v>
                </c:pt>
                <c:pt idx="1">
                  <c:v>15</c:v>
                </c:pt>
                <c:pt idx="2">
                  <c:v>20</c:v>
                </c:pt>
                <c:pt idx="3">
                  <c:v>25</c:v>
                </c:pt>
                <c:pt idx="4">
                  <c:v>30</c:v>
                </c:pt>
                <c:pt idx="5">
                  <c:v>35</c:v>
                </c:pt>
              </c:numCache>
            </c:numRef>
          </c:xVal>
          <c:yVal>
            <c:numRef>
              <c:f>'Cost Curves L-PSH'!$M$124:$M$129</c:f>
              <c:numCache>
                <c:formatCode>General</c:formatCode>
                <c:ptCount val="6"/>
                <c:pt idx="0">
                  <c:v>2.2000000000000002</c:v>
                </c:pt>
                <c:pt idx="1">
                  <c:v>5</c:v>
                </c:pt>
                <c:pt idx="2">
                  <c:v>8.6999999999999993</c:v>
                </c:pt>
                <c:pt idx="3">
                  <c:v>13.7</c:v>
                </c:pt>
              </c:numCache>
            </c:numRef>
          </c:yVal>
          <c:smooth val="0"/>
          <c:extLst>
            <c:ext xmlns:c16="http://schemas.microsoft.com/office/drawing/2014/chart" uri="{C3380CC4-5D6E-409C-BE32-E72D297353CC}">
              <c16:uniqueId val="{00000003-1A9F-4241-8E20-28B8D2F75E43}"/>
            </c:ext>
          </c:extLst>
        </c:ser>
        <c:ser>
          <c:idx val="2"/>
          <c:order val="2"/>
          <c:tx>
            <c:strRef>
              <c:f>'Cost Curves L-PSH'!$N$123</c:f>
              <c:strCache>
                <c:ptCount val="1"/>
                <c:pt idx="0">
                  <c:v>700 Ft</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wer"/>
            <c:dispRSqr val="0"/>
            <c:dispEq val="1"/>
            <c:trendlineLbl>
              <c:layout>
                <c:manualLayout>
                  <c:x val="-0.26399187542649694"/>
                  <c:y val="-0.2030790104323714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L-PSH'!$K$124:$K$129</c:f>
              <c:numCache>
                <c:formatCode>General</c:formatCode>
                <c:ptCount val="6"/>
                <c:pt idx="0">
                  <c:v>10</c:v>
                </c:pt>
                <c:pt idx="1">
                  <c:v>15</c:v>
                </c:pt>
                <c:pt idx="2">
                  <c:v>20</c:v>
                </c:pt>
                <c:pt idx="3">
                  <c:v>25</c:v>
                </c:pt>
                <c:pt idx="4">
                  <c:v>30</c:v>
                </c:pt>
                <c:pt idx="5">
                  <c:v>35</c:v>
                </c:pt>
              </c:numCache>
            </c:numRef>
          </c:xVal>
          <c:yVal>
            <c:numRef>
              <c:f>'Cost Curves L-PSH'!$N$124:$N$129</c:f>
              <c:numCache>
                <c:formatCode>General</c:formatCode>
                <c:ptCount val="6"/>
                <c:pt idx="0">
                  <c:v>3.2</c:v>
                </c:pt>
                <c:pt idx="1">
                  <c:v>7</c:v>
                </c:pt>
                <c:pt idx="2">
                  <c:v>12.3</c:v>
                </c:pt>
              </c:numCache>
            </c:numRef>
          </c:yVal>
          <c:smooth val="0"/>
          <c:extLst>
            <c:ext xmlns:c16="http://schemas.microsoft.com/office/drawing/2014/chart" uri="{C3380CC4-5D6E-409C-BE32-E72D297353CC}">
              <c16:uniqueId val="{00000005-1A9F-4241-8E20-28B8D2F75E43}"/>
            </c:ext>
          </c:extLst>
        </c:ser>
        <c:ser>
          <c:idx val="3"/>
          <c:order val="3"/>
          <c:tx>
            <c:strRef>
              <c:f>'Cost Curves L-PSH'!$O$123</c:f>
              <c:strCache>
                <c:ptCount val="1"/>
                <c:pt idx="0">
                  <c:v>1000 Ft</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wer"/>
            <c:dispRSqr val="0"/>
            <c:dispEq val="1"/>
            <c:trendlineLbl>
              <c:layout>
                <c:manualLayout>
                  <c:x val="-0.26399187542649694"/>
                  <c:y val="-3.9178835463778205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L-PSH'!$K$124:$K$129</c:f>
              <c:numCache>
                <c:formatCode>General</c:formatCode>
                <c:ptCount val="6"/>
                <c:pt idx="0">
                  <c:v>10</c:v>
                </c:pt>
                <c:pt idx="1">
                  <c:v>15</c:v>
                </c:pt>
                <c:pt idx="2">
                  <c:v>20</c:v>
                </c:pt>
                <c:pt idx="3">
                  <c:v>25</c:v>
                </c:pt>
                <c:pt idx="4">
                  <c:v>30</c:v>
                </c:pt>
                <c:pt idx="5">
                  <c:v>35</c:v>
                </c:pt>
              </c:numCache>
            </c:numRef>
          </c:xVal>
          <c:yVal>
            <c:numRef>
              <c:f>'Cost Curves L-PSH'!$O$124:$O$129</c:f>
              <c:numCache>
                <c:formatCode>General</c:formatCode>
                <c:ptCount val="6"/>
                <c:pt idx="0">
                  <c:v>4.5</c:v>
                </c:pt>
                <c:pt idx="1">
                  <c:v>10</c:v>
                </c:pt>
              </c:numCache>
            </c:numRef>
          </c:yVal>
          <c:smooth val="0"/>
          <c:extLst>
            <c:ext xmlns:c16="http://schemas.microsoft.com/office/drawing/2014/chart" uri="{C3380CC4-5D6E-409C-BE32-E72D297353CC}">
              <c16:uniqueId val="{00000007-1A9F-4241-8E20-28B8D2F75E43}"/>
            </c:ext>
          </c:extLst>
        </c:ser>
        <c:ser>
          <c:idx val="4"/>
          <c:order val="4"/>
          <c:tx>
            <c:strRef>
              <c:f>'Cost Curves L-PSH'!$P$123</c:f>
              <c:strCache>
                <c:ptCount val="1"/>
                <c:pt idx="0">
                  <c:v>1500 Ft</c:v>
                </c:pt>
              </c:strCache>
            </c:strRef>
          </c:tx>
          <c:spPr>
            <a:ln w="19050" cap="rnd">
              <a:no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power"/>
            <c:dispRSqr val="0"/>
            <c:dispEq val="1"/>
            <c:trendlineLbl>
              <c:layout>
                <c:manualLayout>
                  <c:x val="-0.26137993528147047"/>
                  <c:y val="0.1791231780233563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L-PSH'!$K$124:$K$129</c:f>
              <c:numCache>
                <c:formatCode>General</c:formatCode>
                <c:ptCount val="6"/>
                <c:pt idx="0">
                  <c:v>10</c:v>
                </c:pt>
                <c:pt idx="1">
                  <c:v>15</c:v>
                </c:pt>
                <c:pt idx="2">
                  <c:v>20</c:v>
                </c:pt>
                <c:pt idx="3">
                  <c:v>25</c:v>
                </c:pt>
                <c:pt idx="4">
                  <c:v>30</c:v>
                </c:pt>
                <c:pt idx="5">
                  <c:v>35</c:v>
                </c:pt>
              </c:numCache>
            </c:numRef>
          </c:xVal>
          <c:yVal>
            <c:numRef>
              <c:f>'Cost Curves L-PSH'!$P$124:$P$129</c:f>
              <c:numCache>
                <c:formatCode>General</c:formatCode>
                <c:ptCount val="6"/>
                <c:pt idx="0">
                  <c:v>6.65</c:v>
                </c:pt>
                <c:pt idx="1">
                  <c:v>14.75</c:v>
                </c:pt>
              </c:numCache>
            </c:numRef>
          </c:yVal>
          <c:smooth val="0"/>
          <c:extLst>
            <c:ext xmlns:c16="http://schemas.microsoft.com/office/drawing/2014/chart" uri="{C3380CC4-5D6E-409C-BE32-E72D297353CC}">
              <c16:uniqueId val="{00000009-1A9F-4241-8E20-28B8D2F75E43}"/>
            </c:ext>
          </c:extLst>
        </c:ser>
        <c:dLbls>
          <c:showLegendKey val="0"/>
          <c:showVal val="0"/>
          <c:showCatName val="0"/>
          <c:showSerName val="0"/>
          <c:showPercent val="0"/>
          <c:showBubbleSize val="0"/>
        </c:dLbls>
        <c:axId val="1967309727"/>
        <c:axId val="1967928351"/>
      </c:scatterChart>
      <c:valAx>
        <c:axId val="196730972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Penstock Diameter</a:t>
                </a:r>
                <a:r>
                  <a:rPr lang="en-US" baseline="0"/>
                  <a:t> in ft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928351"/>
        <c:crosses val="autoZero"/>
        <c:crossBetween val="midCat"/>
      </c:valAx>
      <c:valAx>
        <c:axId val="19679283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$1000/FT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309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Underground Powerstation Equipment Costs $/kW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L-PSH'!$B$162</c:f>
              <c:strCache>
                <c:ptCount val="1"/>
                <c:pt idx="0">
                  <c:v>160 MW</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5.4764027823430862E-3"/>
                  <c:y val="0.2122500303799326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L-PSH'!$A$163:$A$168</c:f>
              <c:numCache>
                <c:formatCode>General</c:formatCode>
                <c:ptCount val="6"/>
                <c:pt idx="0">
                  <c:v>350</c:v>
                </c:pt>
                <c:pt idx="1">
                  <c:v>500</c:v>
                </c:pt>
                <c:pt idx="2">
                  <c:v>1000</c:v>
                </c:pt>
                <c:pt idx="3">
                  <c:v>1500</c:v>
                </c:pt>
                <c:pt idx="4">
                  <c:v>2000</c:v>
                </c:pt>
                <c:pt idx="5">
                  <c:v>2250</c:v>
                </c:pt>
              </c:numCache>
            </c:numRef>
          </c:xVal>
          <c:yVal>
            <c:numRef>
              <c:f>'Cost Curves L-PSH'!$B$163:$B$168</c:f>
              <c:numCache>
                <c:formatCode>General</c:formatCode>
                <c:ptCount val="6"/>
                <c:pt idx="0">
                  <c:v>242</c:v>
                </c:pt>
                <c:pt idx="1">
                  <c:v>235</c:v>
                </c:pt>
                <c:pt idx="2">
                  <c:v>224</c:v>
                </c:pt>
                <c:pt idx="3">
                  <c:v>222</c:v>
                </c:pt>
                <c:pt idx="4">
                  <c:v>237</c:v>
                </c:pt>
                <c:pt idx="5">
                  <c:v>245</c:v>
                </c:pt>
              </c:numCache>
            </c:numRef>
          </c:yVal>
          <c:smooth val="0"/>
          <c:extLst>
            <c:ext xmlns:c16="http://schemas.microsoft.com/office/drawing/2014/chart" uri="{C3380CC4-5D6E-409C-BE32-E72D297353CC}">
              <c16:uniqueId val="{00000001-25D6-E943-9040-31C749D37A71}"/>
            </c:ext>
          </c:extLst>
        </c:ser>
        <c:ser>
          <c:idx val="1"/>
          <c:order val="1"/>
          <c:tx>
            <c:strRef>
              <c:f>'Cost Curves L-PSH'!$C$162</c:f>
              <c:strCache>
                <c:ptCount val="1"/>
                <c:pt idx="0">
                  <c:v>240 MW</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1.047283348175093E-2"/>
                  <c:y val="0.2239908223990822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L-PSH'!$A$163:$A$168</c:f>
              <c:numCache>
                <c:formatCode>General</c:formatCode>
                <c:ptCount val="6"/>
                <c:pt idx="0">
                  <c:v>350</c:v>
                </c:pt>
                <c:pt idx="1">
                  <c:v>500</c:v>
                </c:pt>
                <c:pt idx="2">
                  <c:v>1000</c:v>
                </c:pt>
                <c:pt idx="3">
                  <c:v>1500</c:v>
                </c:pt>
                <c:pt idx="4">
                  <c:v>2000</c:v>
                </c:pt>
                <c:pt idx="5">
                  <c:v>2250</c:v>
                </c:pt>
              </c:numCache>
            </c:numRef>
          </c:xVal>
          <c:yVal>
            <c:numRef>
              <c:f>'Cost Curves L-PSH'!$C$163:$C$168</c:f>
              <c:numCache>
                <c:formatCode>General</c:formatCode>
                <c:ptCount val="6"/>
                <c:pt idx="0">
                  <c:v>229</c:v>
                </c:pt>
                <c:pt idx="1">
                  <c:v>224</c:v>
                </c:pt>
                <c:pt idx="2">
                  <c:v>212</c:v>
                </c:pt>
                <c:pt idx="3">
                  <c:v>210</c:v>
                </c:pt>
                <c:pt idx="4">
                  <c:v>226</c:v>
                </c:pt>
                <c:pt idx="5">
                  <c:v>234</c:v>
                </c:pt>
              </c:numCache>
            </c:numRef>
          </c:yVal>
          <c:smooth val="0"/>
          <c:extLst>
            <c:ext xmlns:c16="http://schemas.microsoft.com/office/drawing/2014/chart" uri="{C3380CC4-5D6E-409C-BE32-E72D297353CC}">
              <c16:uniqueId val="{00000003-25D6-E943-9040-31C749D37A71}"/>
            </c:ext>
          </c:extLst>
        </c:ser>
        <c:ser>
          <c:idx val="2"/>
          <c:order val="2"/>
          <c:tx>
            <c:strRef>
              <c:f>'Cost Curves L-PSH'!$D$162</c:f>
              <c:strCache>
                <c:ptCount val="1"/>
                <c:pt idx="0">
                  <c:v>320 MW</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0"/>
            <c:dispEq val="1"/>
            <c:trendlineLbl>
              <c:layout>
                <c:manualLayout>
                  <c:x val="-1.5469264181158775E-2"/>
                  <c:y val="0.2450297252071978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L-PSH'!$A$163:$A$168</c:f>
              <c:numCache>
                <c:formatCode>General</c:formatCode>
                <c:ptCount val="6"/>
                <c:pt idx="0">
                  <c:v>350</c:v>
                </c:pt>
                <c:pt idx="1">
                  <c:v>500</c:v>
                </c:pt>
                <c:pt idx="2">
                  <c:v>1000</c:v>
                </c:pt>
                <c:pt idx="3">
                  <c:v>1500</c:v>
                </c:pt>
                <c:pt idx="4">
                  <c:v>2000</c:v>
                </c:pt>
                <c:pt idx="5">
                  <c:v>2250</c:v>
                </c:pt>
              </c:numCache>
            </c:numRef>
          </c:xVal>
          <c:yVal>
            <c:numRef>
              <c:f>'Cost Curves L-PSH'!$D$163:$D$168</c:f>
              <c:numCache>
                <c:formatCode>General</c:formatCode>
                <c:ptCount val="6"/>
                <c:pt idx="0">
                  <c:v>223</c:v>
                </c:pt>
                <c:pt idx="1">
                  <c:v>217</c:v>
                </c:pt>
                <c:pt idx="2">
                  <c:v>205</c:v>
                </c:pt>
                <c:pt idx="3">
                  <c:v>204</c:v>
                </c:pt>
                <c:pt idx="4">
                  <c:v>220</c:v>
                </c:pt>
                <c:pt idx="5">
                  <c:v>228</c:v>
                </c:pt>
              </c:numCache>
            </c:numRef>
          </c:yVal>
          <c:smooth val="0"/>
          <c:extLst>
            <c:ext xmlns:c16="http://schemas.microsoft.com/office/drawing/2014/chart" uri="{C3380CC4-5D6E-409C-BE32-E72D297353CC}">
              <c16:uniqueId val="{00000005-25D6-E943-9040-31C749D37A71}"/>
            </c:ext>
          </c:extLst>
        </c:ser>
        <c:ser>
          <c:idx val="3"/>
          <c:order val="3"/>
          <c:tx>
            <c:strRef>
              <c:f>'Cost Curves L-PSH'!$E$162</c:f>
              <c:strCache>
                <c:ptCount val="1"/>
                <c:pt idx="0">
                  <c:v>480 MW</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ly"/>
            <c:order val="2"/>
            <c:dispRSqr val="0"/>
            <c:dispEq val="1"/>
            <c:trendlineLbl>
              <c:layout>
                <c:manualLayout>
                  <c:x val="-2.4362910826104738E-2"/>
                  <c:y val="0.2699175382593594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L-PSH'!$A$163:$A$168</c:f>
              <c:numCache>
                <c:formatCode>General</c:formatCode>
                <c:ptCount val="6"/>
                <c:pt idx="0">
                  <c:v>350</c:v>
                </c:pt>
                <c:pt idx="1">
                  <c:v>500</c:v>
                </c:pt>
                <c:pt idx="2">
                  <c:v>1000</c:v>
                </c:pt>
                <c:pt idx="3">
                  <c:v>1500</c:v>
                </c:pt>
                <c:pt idx="4">
                  <c:v>2000</c:v>
                </c:pt>
                <c:pt idx="5">
                  <c:v>2250</c:v>
                </c:pt>
              </c:numCache>
            </c:numRef>
          </c:xVal>
          <c:yVal>
            <c:numRef>
              <c:f>'Cost Curves L-PSH'!$E$163:$E$168</c:f>
              <c:numCache>
                <c:formatCode>General</c:formatCode>
                <c:ptCount val="6"/>
                <c:pt idx="0">
                  <c:v>216</c:v>
                </c:pt>
                <c:pt idx="1">
                  <c:v>210</c:v>
                </c:pt>
                <c:pt idx="2">
                  <c:v>200</c:v>
                </c:pt>
                <c:pt idx="3">
                  <c:v>200</c:v>
                </c:pt>
                <c:pt idx="4">
                  <c:v>215</c:v>
                </c:pt>
                <c:pt idx="5">
                  <c:v>223</c:v>
                </c:pt>
              </c:numCache>
            </c:numRef>
          </c:yVal>
          <c:smooth val="0"/>
          <c:extLst>
            <c:ext xmlns:c16="http://schemas.microsoft.com/office/drawing/2014/chart" uri="{C3380CC4-5D6E-409C-BE32-E72D297353CC}">
              <c16:uniqueId val="{00000007-25D6-E943-9040-31C749D37A71}"/>
            </c:ext>
          </c:extLst>
        </c:ser>
        <c:dLbls>
          <c:showLegendKey val="0"/>
          <c:showVal val="0"/>
          <c:showCatName val="0"/>
          <c:showSerName val="0"/>
          <c:showPercent val="0"/>
          <c:showBubbleSize val="0"/>
        </c:dLbls>
        <c:axId val="1916134927"/>
        <c:axId val="1915963119"/>
      </c:scatterChart>
      <c:valAx>
        <c:axId val="191613492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Head Height</a:t>
                </a:r>
                <a:r>
                  <a:rPr lang="en-US" baseline="0"/>
                  <a:t> in ft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5963119"/>
        <c:crosses val="autoZero"/>
        <c:crossBetween val="midCat"/>
      </c:valAx>
      <c:valAx>
        <c:axId val="19159631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61349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Underground Powerstation Equipment Costs $/kW</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L-PSH'!$L$162</c:f>
              <c:strCache>
                <c:ptCount val="1"/>
                <c:pt idx="0">
                  <c:v>250 MW</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1.7300652055660008E-2"/>
                  <c:y val="0.1398917520474769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L-PSH'!$K$163:$K$168</c:f>
              <c:numCache>
                <c:formatCode>General</c:formatCode>
                <c:ptCount val="6"/>
                <c:pt idx="0">
                  <c:v>350</c:v>
                </c:pt>
                <c:pt idx="1">
                  <c:v>500</c:v>
                </c:pt>
                <c:pt idx="2">
                  <c:v>1000</c:v>
                </c:pt>
                <c:pt idx="3">
                  <c:v>1500</c:v>
                </c:pt>
                <c:pt idx="4">
                  <c:v>2000</c:v>
                </c:pt>
                <c:pt idx="5">
                  <c:v>2250</c:v>
                </c:pt>
              </c:numCache>
            </c:numRef>
          </c:xVal>
          <c:yVal>
            <c:numRef>
              <c:f>'Cost Curves L-PSH'!$L$163:$L$168</c:f>
              <c:numCache>
                <c:formatCode>General</c:formatCode>
                <c:ptCount val="6"/>
                <c:pt idx="0">
                  <c:v>203</c:v>
                </c:pt>
                <c:pt idx="1">
                  <c:v>194</c:v>
                </c:pt>
                <c:pt idx="2">
                  <c:v>183</c:v>
                </c:pt>
                <c:pt idx="3">
                  <c:v>180</c:v>
                </c:pt>
                <c:pt idx="4">
                  <c:v>185</c:v>
                </c:pt>
                <c:pt idx="5">
                  <c:v>187</c:v>
                </c:pt>
              </c:numCache>
            </c:numRef>
          </c:yVal>
          <c:smooth val="0"/>
          <c:extLst>
            <c:ext xmlns:c16="http://schemas.microsoft.com/office/drawing/2014/chart" uri="{C3380CC4-5D6E-409C-BE32-E72D297353CC}">
              <c16:uniqueId val="{00000001-327F-C549-8884-01ACD70E43D6}"/>
            </c:ext>
          </c:extLst>
        </c:ser>
        <c:ser>
          <c:idx val="1"/>
          <c:order val="1"/>
          <c:tx>
            <c:strRef>
              <c:f>'Cost Curves L-PSH'!$M$162</c:f>
              <c:strCache>
                <c:ptCount val="1"/>
                <c:pt idx="0">
                  <c:v>375 MW</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9.4443113288433279E-3"/>
                  <c:y val="0.1469676851151554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L-PSH'!$K$163:$K$168</c:f>
              <c:numCache>
                <c:formatCode>General</c:formatCode>
                <c:ptCount val="6"/>
                <c:pt idx="0">
                  <c:v>350</c:v>
                </c:pt>
                <c:pt idx="1">
                  <c:v>500</c:v>
                </c:pt>
                <c:pt idx="2">
                  <c:v>1000</c:v>
                </c:pt>
                <c:pt idx="3">
                  <c:v>1500</c:v>
                </c:pt>
                <c:pt idx="4">
                  <c:v>2000</c:v>
                </c:pt>
                <c:pt idx="5">
                  <c:v>2250</c:v>
                </c:pt>
              </c:numCache>
            </c:numRef>
          </c:xVal>
          <c:yVal>
            <c:numRef>
              <c:f>'Cost Curves L-PSH'!$M$163:$M$168</c:f>
              <c:numCache>
                <c:formatCode>General</c:formatCode>
                <c:ptCount val="6"/>
                <c:pt idx="0">
                  <c:v>194</c:v>
                </c:pt>
                <c:pt idx="1">
                  <c:v>185</c:v>
                </c:pt>
                <c:pt idx="2">
                  <c:v>174</c:v>
                </c:pt>
                <c:pt idx="3">
                  <c:v>173</c:v>
                </c:pt>
                <c:pt idx="4">
                  <c:v>176</c:v>
                </c:pt>
                <c:pt idx="5">
                  <c:v>179</c:v>
                </c:pt>
              </c:numCache>
            </c:numRef>
          </c:yVal>
          <c:smooth val="0"/>
          <c:extLst>
            <c:ext xmlns:c16="http://schemas.microsoft.com/office/drawing/2014/chart" uri="{C3380CC4-5D6E-409C-BE32-E72D297353CC}">
              <c16:uniqueId val="{00000003-327F-C549-8884-01ACD70E43D6}"/>
            </c:ext>
          </c:extLst>
        </c:ser>
        <c:ser>
          <c:idx val="2"/>
          <c:order val="2"/>
          <c:tx>
            <c:strRef>
              <c:f>'Cost Curves L-PSH'!$N$162</c:f>
              <c:strCache>
                <c:ptCount val="1"/>
                <c:pt idx="0">
                  <c:v>500 MW</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0"/>
            <c:dispEq val="1"/>
            <c:trendlineLbl>
              <c:layout>
                <c:manualLayout>
                  <c:x val="-1.2063091571115556E-2"/>
                  <c:y val="0.1727107948023294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L-PSH'!$K$163:$K$168</c:f>
              <c:numCache>
                <c:formatCode>General</c:formatCode>
                <c:ptCount val="6"/>
                <c:pt idx="0">
                  <c:v>350</c:v>
                </c:pt>
                <c:pt idx="1">
                  <c:v>500</c:v>
                </c:pt>
                <c:pt idx="2">
                  <c:v>1000</c:v>
                </c:pt>
                <c:pt idx="3">
                  <c:v>1500</c:v>
                </c:pt>
                <c:pt idx="4">
                  <c:v>2000</c:v>
                </c:pt>
                <c:pt idx="5">
                  <c:v>2250</c:v>
                </c:pt>
              </c:numCache>
            </c:numRef>
          </c:xVal>
          <c:yVal>
            <c:numRef>
              <c:f>'Cost Curves L-PSH'!$N$163:$N$168</c:f>
              <c:numCache>
                <c:formatCode>General</c:formatCode>
                <c:ptCount val="6"/>
                <c:pt idx="0">
                  <c:v>188</c:v>
                </c:pt>
                <c:pt idx="1">
                  <c:v>180</c:v>
                </c:pt>
                <c:pt idx="2">
                  <c:v>169</c:v>
                </c:pt>
                <c:pt idx="3">
                  <c:v>168</c:v>
                </c:pt>
                <c:pt idx="4">
                  <c:v>173</c:v>
                </c:pt>
                <c:pt idx="5">
                  <c:v>175</c:v>
                </c:pt>
              </c:numCache>
            </c:numRef>
          </c:yVal>
          <c:smooth val="0"/>
          <c:extLst>
            <c:ext xmlns:c16="http://schemas.microsoft.com/office/drawing/2014/chart" uri="{C3380CC4-5D6E-409C-BE32-E72D297353CC}">
              <c16:uniqueId val="{00000005-327F-C549-8884-01ACD70E43D6}"/>
            </c:ext>
          </c:extLst>
        </c:ser>
        <c:ser>
          <c:idx val="3"/>
          <c:order val="3"/>
          <c:tx>
            <c:strRef>
              <c:f>'Cost Curves L-PSH'!$O$162</c:f>
              <c:strCache>
                <c:ptCount val="1"/>
                <c:pt idx="0">
                  <c:v>750 MW</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ly"/>
            <c:order val="2"/>
            <c:dispRSqr val="0"/>
            <c:dispEq val="1"/>
            <c:trendlineLbl>
              <c:layout>
                <c:manualLayout>
                  <c:x val="-1.4681871813387782E-2"/>
                  <c:y val="0.1958985142110249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L-PSH'!$K$163:$K$168</c:f>
              <c:numCache>
                <c:formatCode>General</c:formatCode>
                <c:ptCount val="6"/>
                <c:pt idx="0">
                  <c:v>350</c:v>
                </c:pt>
                <c:pt idx="1">
                  <c:v>500</c:v>
                </c:pt>
                <c:pt idx="2">
                  <c:v>1000</c:v>
                </c:pt>
                <c:pt idx="3">
                  <c:v>1500</c:v>
                </c:pt>
                <c:pt idx="4">
                  <c:v>2000</c:v>
                </c:pt>
                <c:pt idx="5">
                  <c:v>2250</c:v>
                </c:pt>
              </c:numCache>
            </c:numRef>
          </c:xVal>
          <c:yVal>
            <c:numRef>
              <c:f>'Cost Curves L-PSH'!$O$163:$O$168</c:f>
              <c:numCache>
                <c:formatCode>General</c:formatCode>
                <c:ptCount val="6"/>
                <c:pt idx="0">
                  <c:v>184</c:v>
                </c:pt>
                <c:pt idx="1">
                  <c:v>176</c:v>
                </c:pt>
                <c:pt idx="2">
                  <c:v>165</c:v>
                </c:pt>
                <c:pt idx="3">
                  <c:v>164</c:v>
                </c:pt>
                <c:pt idx="4">
                  <c:v>168</c:v>
                </c:pt>
                <c:pt idx="5">
                  <c:v>171</c:v>
                </c:pt>
              </c:numCache>
            </c:numRef>
          </c:yVal>
          <c:smooth val="0"/>
          <c:extLst>
            <c:ext xmlns:c16="http://schemas.microsoft.com/office/drawing/2014/chart" uri="{C3380CC4-5D6E-409C-BE32-E72D297353CC}">
              <c16:uniqueId val="{00000007-327F-C549-8884-01ACD70E43D6}"/>
            </c:ext>
          </c:extLst>
        </c:ser>
        <c:dLbls>
          <c:showLegendKey val="0"/>
          <c:showVal val="0"/>
          <c:showCatName val="0"/>
          <c:showSerName val="0"/>
          <c:showPercent val="0"/>
          <c:showBubbleSize val="0"/>
        </c:dLbls>
        <c:axId val="1949891855"/>
        <c:axId val="1947444751"/>
      </c:scatterChart>
      <c:valAx>
        <c:axId val="194989185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7444751"/>
        <c:crosses val="autoZero"/>
        <c:crossBetween val="midCat"/>
      </c:valAx>
      <c:valAx>
        <c:axId val="19474447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989185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Underground Powerstation Equipment Costs $/kW</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L-PSH'!$V$162</c:f>
              <c:strCache>
                <c:ptCount val="1"/>
                <c:pt idx="0">
                  <c:v>450 MW</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2.541625461622855E-2"/>
                  <c:y val="0.1592348281194402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L-PSH'!$U$163:$U$168</c:f>
              <c:numCache>
                <c:formatCode>General</c:formatCode>
                <c:ptCount val="6"/>
                <c:pt idx="0">
                  <c:v>350</c:v>
                </c:pt>
                <c:pt idx="1">
                  <c:v>500</c:v>
                </c:pt>
                <c:pt idx="2">
                  <c:v>1000</c:v>
                </c:pt>
                <c:pt idx="3">
                  <c:v>1500</c:v>
                </c:pt>
                <c:pt idx="4">
                  <c:v>2000</c:v>
                </c:pt>
                <c:pt idx="5">
                  <c:v>2250</c:v>
                </c:pt>
              </c:numCache>
            </c:numRef>
          </c:xVal>
          <c:yVal>
            <c:numRef>
              <c:f>'Cost Curves L-PSH'!$V$163:$V$168</c:f>
              <c:numCache>
                <c:formatCode>General</c:formatCode>
                <c:ptCount val="6"/>
                <c:pt idx="0">
                  <c:v>163</c:v>
                </c:pt>
                <c:pt idx="1">
                  <c:v>153</c:v>
                </c:pt>
                <c:pt idx="2">
                  <c:v>139</c:v>
                </c:pt>
                <c:pt idx="3">
                  <c:v>138.5</c:v>
                </c:pt>
                <c:pt idx="4">
                  <c:v>143</c:v>
                </c:pt>
                <c:pt idx="5">
                  <c:v>145</c:v>
                </c:pt>
              </c:numCache>
            </c:numRef>
          </c:yVal>
          <c:smooth val="0"/>
          <c:extLst>
            <c:ext xmlns:c16="http://schemas.microsoft.com/office/drawing/2014/chart" uri="{C3380CC4-5D6E-409C-BE32-E72D297353CC}">
              <c16:uniqueId val="{00000001-A20F-164F-9846-399818679CAC}"/>
            </c:ext>
          </c:extLst>
        </c:ser>
        <c:ser>
          <c:idx val="1"/>
          <c:order val="1"/>
          <c:tx>
            <c:strRef>
              <c:f>'Cost Curves L-PSH'!$W$162</c:f>
              <c:strCache>
                <c:ptCount val="1"/>
                <c:pt idx="0">
                  <c:v>675 MW</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1.7608983157195005E-2"/>
                  <c:y val="0.164616501413635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L-PSH'!$U$163:$U$168</c:f>
              <c:numCache>
                <c:formatCode>General</c:formatCode>
                <c:ptCount val="6"/>
                <c:pt idx="0">
                  <c:v>350</c:v>
                </c:pt>
                <c:pt idx="1">
                  <c:v>500</c:v>
                </c:pt>
                <c:pt idx="2">
                  <c:v>1000</c:v>
                </c:pt>
                <c:pt idx="3">
                  <c:v>1500</c:v>
                </c:pt>
                <c:pt idx="4">
                  <c:v>2000</c:v>
                </c:pt>
                <c:pt idx="5">
                  <c:v>2250</c:v>
                </c:pt>
              </c:numCache>
            </c:numRef>
          </c:xVal>
          <c:yVal>
            <c:numRef>
              <c:f>'Cost Curves L-PSH'!$W$163:$W$168</c:f>
              <c:numCache>
                <c:formatCode>General</c:formatCode>
                <c:ptCount val="6"/>
                <c:pt idx="0">
                  <c:v>155</c:v>
                </c:pt>
                <c:pt idx="1">
                  <c:v>145</c:v>
                </c:pt>
                <c:pt idx="2">
                  <c:v>134</c:v>
                </c:pt>
                <c:pt idx="3">
                  <c:v>133.5</c:v>
                </c:pt>
                <c:pt idx="4">
                  <c:v>135.5</c:v>
                </c:pt>
                <c:pt idx="5">
                  <c:v>137</c:v>
                </c:pt>
              </c:numCache>
            </c:numRef>
          </c:yVal>
          <c:smooth val="0"/>
          <c:extLst>
            <c:ext xmlns:c16="http://schemas.microsoft.com/office/drawing/2014/chart" uri="{C3380CC4-5D6E-409C-BE32-E72D297353CC}">
              <c16:uniqueId val="{00000003-A20F-164F-9846-399818679CAC}"/>
            </c:ext>
          </c:extLst>
        </c:ser>
        <c:ser>
          <c:idx val="2"/>
          <c:order val="2"/>
          <c:tx>
            <c:strRef>
              <c:f>'Cost Curves L-PSH'!$X$162</c:f>
              <c:strCache>
                <c:ptCount val="1"/>
                <c:pt idx="0">
                  <c:v>900 MW</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0"/>
            <c:dispEq val="1"/>
            <c:trendlineLbl>
              <c:layout>
                <c:manualLayout>
                  <c:x val="-3.4680883414281695E-2"/>
                  <c:y val="0.1901413736641741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L-PSH'!$U$163:$U$168</c:f>
              <c:numCache>
                <c:formatCode>General</c:formatCode>
                <c:ptCount val="6"/>
                <c:pt idx="0">
                  <c:v>350</c:v>
                </c:pt>
                <c:pt idx="1">
                  <c:v>500</c:v>
                </c:pt>
                <c:pt idx="2">
                  <c:v>1000</c:v>
                </c:pt>
                <c:pt idx="3">
                  <c:v>1500</c:v>
                </c:pt>
                <c:pt idx="4">
                  <c:v>2000</c:v>
                </c:pt>
                <c:pt idx="5">
                  <c:v>2250</c:v>
                </c:pt>
              </c:numCache>
            </c:numRef>
          </c:xVal>
          <c:yVal>
            <c:numRef>
              <c:f>'Cost Curves L-PSH'!$X$163:$X$168</c:f>
              <c:numCache>
                <c:formatCode>General</c:formatCode>
                <c:ptCount val="6"/>
                <c:pt idx="0">
                  <c:v>151</c:v>
                </c:pt>
                <c:pt idx="1">
                  <c:v>142</c:v>
                </c:pt>
                <c:pt idx="2">
                  <c:v>130</c:v>
                </c:pt>
                <c:pt idx="3">
                  <c:v>129</c:v>
                </c:pt>
                <c:pt idx="4">
                  <c:v>134</c:v>
                </c:pt>
                <c:pt idx="5">
                  <c:v>135</c:v>
                </c:pt>
              </c:numCache>
            </c:numRef>
          </c:yVal>
          <c:smooth val="0"/>
          <c:extLst>
            <c:ext xmlns:c16="http://schemas.microsoft.com/office/drawing/2014/chart" uri="{C3380CC4-5D6E-409C-BE32-E72D297353CC}">
              <c16:uniqueId val="{00000005-A20F-164F-9846-399818679CAC}"/>
            </c:ext>
          </c:extLst>
        </c:ser>
        <c:ser>
          <c:idx val="3"/>
          <c:order val="3"/>
          <c:tx>
            <c:strRef>
              <c:f>'Cost Curves L-PSH'!$Y$162</c:f>
              <c:strCache>
                <c:ptCount val="1"/>
                <c:pt idx="0">
                  <c:v>1350 MW</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ly"/>
            <c:order val="2"/>
            <c:dispRSqr val="0"/>
            <c:dispEq val="1"/>
            <c:trendlineLbl>
              <c:layout>
                <c:manualLayout>
                  <c:x val="-2.541625461622855E-2"/>
                  <c:y val="0.210150908171011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L-PSH'!$U$163:$U$168</c:f>
              <c:numCache>
                <c:formatCode>General</c:formatCode>
                <c:ptCount val="6"/>
                <c:pt idx="0">
                  <c:v>350</c:v>
                </c:pt>
                <c:pt idx="1">
                  <c:v>500</c:v>
                </c:pt>
                <c:pt idx="2">
                  <c:v>1000</c:v>
                </c:pt>
                <c:pt idx="3">
                  <c:v>1500</c:v>
                </c:pt>
                <c:pt idx="4">
                  <c:v>2000</c:v>
                </c:pt>
                <c:pt idx="5">
                  <c:v>2250</c:v>
                </c:pt>
              </c:numCache>
            </c:numRef>
          </c:xVal>
          <c:yVal>
            <c:numRef>
              <c:f>'Cost Curves L-PSH'!$Y$163:$Y$168</c:f>
              <c:numCache>
                <c:formatCode>General</c:formatCode>
                <c:ptCount val="6"/>
                <c:pt idx="0">
                  <c:v>146</c:v>
                </c:pt>
                <c:pt idx="1">
                  <c:v>137</c:v>
                </c:pt>
                <c:pt idx="2">
                  <c:v>126</c:v>
                </c:pt>
                <c:pt idx="3">
                  <c:v>126</c:v>
                </c:pt>
                <c:pt idx="4">
                  <c:v>130</c:v>
                </c:pt>
                <c:pt idx="5">
                  <c:v>132</c:v>
                </c:pt>
              </c:numCache>
            </c:numRef>
          </c:yVal>
          <c:smooth val="0"/>
          <c:extLst>
            <c:ext xmlns:c16="http://schemas.microsoft.com/office/drawing/2014/chart" uri="{C3380CC4-5D6E-409C-BE32-E72D297353CC}">
              <c16:uniqueId val="{00000007-A20F-164F-9846-399818679CAC}"/>
            </c:ext>
          </c:extLst>
        </c:ser>
        <c:dLbls>
          <c:showLegendKey val="0"/>
          <c:showVal val="0"/>
          <c:showCatName val="0"/>
          <c:showSerName val="0"/>
          <c:showPercent val="0"/>
          <c:showBubbleSize val="0"/>
        </c:dLbls>
        <c:axId val="1873787007"/>
        <c:axId val="1975905599"/>
      </c:scatterChart>
      <c:valAx>
        <c:axId val="187378700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5905599"/>
        <c:crosses val="autoZero"/>
        <c:crossBetween val="midCat"/>
      </c:valAx>
      <c:valAx>
        <c:axId val="19759055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37870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Underground Powerstation Equipment Costs $/kW</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L-PSH'!$AF$162</c:f>
              <c:strCache>
                <c:ptCount val="1"/>
                <c:pt idx="0">
                  <c:v>700 MW</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2.5544475778322289E-2"/>
                  <c:y val="0.1490024450854890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L-PSH'!$AE$163:$AE$168</c:f>
              <c:numCache>
                <c:formatCode>General</c:formatCode>
                <c:ptCount val="6"/>
                <c:pt idx="0">
                  <c:v>350</c:v>
                </c:pt>
                <c:pt idx="1">
                  <c:v>500</c:v>
                </c:pt>
                <c:pt idx="2">
                  <c:v>1000</c:v>
                </c:pt>
                <c:pt idx="3">
                  <c:v>1500</c:v>
                </c:pt>
                <c:pt idx="4">
                  <c:v>2000</c:v>
                </c:pt>
                <c:pt idx="5">
                  <c:v>2250</c:v>
                </c:pt>
              </c:numCache>
            </c:numRef>
          </c:xVal>
          <c:yVal>
            <c:numRef>
              <c:f>'Cost Curves L-PSH'!$AF$163:$AF$168</c:f>
              <c:numCache>
                <c:formatCode>General</c:formatCode>
                <c:ptCount val="6"/>
                <c:pt idx="0">
                  <c:v>130</c:v>
                </c:pt>
                <c:pt idx="1">
                  <c:v>124</c:v>
                </c:pt>
                <c:pt idx="2">
                  <c:v>112</c:v>
                </c:pt>
                <c:pt idx="3">
                  <c:v>114</c:v>
                </c:pt>
                <c:pt idx="4">
                  <c:v>115</c:v>
                </c:pt>
                <c:pt idx="5">
                  <c:v>115.5</c:v>
                </c:pt>
              </c:numCache>
            </c:numRef>
          </c:yVal>
          <c:smooth val="0"/>
          <c:extLst>
            <c:ext xmlns:c16="http://schemas.microsoft.com/office/drawing/2014/chart" uri="{C3380CC4-5D6E-409C-BE32-E72D297353CC}">
              <c16:uniqueId val="{00000001-1F7A-DC43-8D51-30CBA5FB7761}"/>
            </c:ext>
          </c:extLst>
        </c:ser>
        <c:ser>
          <c:idx val="1"/>
          <c:order val="1"/>
          <c:tx>
            <c:strRef>
              <c:f>'Cost Curves L-PSH'!$AG$162</c:f>
              <c:strCache>
                <c:ptCount val="1"/>
                <c:pt idx="0">
                  <c:v>1050 MW</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2.9591618908321342E-2"/>
                  <c:y val="0.1605157231204738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L-PSH'!$AE$163:$AE$168</c:f>
              <c:numCache>
                <c:formatCode>General</c:formatCode>
                <c:ptCount val="6"/>
                <c:pt idx="0">
                  <c:v>350</c:v>
                </c:pt>
                <c:pt idx="1">
                  <c:v>500</c:v>
                </c:pt>
                <c:pt idx="2">
                  <c:v>1000</c:v>
                </c:pt>
                <c:pt idx="3">
                  <c:v>1500</c:v>
                </c:pt>
                <c:pt idx="4">
                  <c:v>2000</c:v>
                </c:pt>
                <c:pt idx="5">
                  <c:v>2250</c:v>
                </c:pt>
              </c:numCache>
            </c:numRef>
          </c:xVal>
          <c:yVal>
            <c:numRef>
              <c:f>'Cost Curves L-PSH'!$AG$163:$AG$168</c:f>
              <c:numCache>
                <c:formatCode>General</c:formatCode>
                <c:ptCount val="6"/>
                <c:pt idx="0">
                  <c:v>124</c:v>
                </c:pt>
                <c:pt idx="1">
                  <c:v>116</c:v>
                </c:pt>
                <c:pt idx="2">
                  <c:v>107</c:v>
                </c:pt>
                <c:pt idx="3">
                  <c:v>107.5</c:v>
                </c:pt>
                <c:pt idx="4">
                  <c:v>110</c:v>
                </c:pt>
                <c:pt idx="5">
                  <c:v>110.5</c:v>
                </c:pt>
              </c:numCache>
            </c:numRef>
          </c:yVal>
          <c:smooth val="0"/>
          <c:extLst>
            <c:ext xmlns:c16="http://schemas.microsoft.com/office/drawing/2014/chart" uri="{C3380CC4-5D6E-409C-BE32-E72D297353CC}">
              <c16:uniqueId val="{00000003-1F7A-DC43-8D51-30CBA5FB7761}"/>
            </c:ext>
          </c:extLst>
        </c:ser>
        <c:ser>
          <c:idx val="2"/>
          <c:order val="2"/>
          <c:tx>
            <c:strRef>
              <c:f>'Cost Curves L-PSH'!$AH$162</c:f>
              <c:strCache>
                <c:ptCount val="1"/>
                <c:pt idx="0">
                  <c:v>1400 MW</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0"/>
            <c:dispEq val="1"/>
            <c:trendlineLbl>
              <c:layout>
                <c:manualLayout>
                  <c:x val="-3.2185941427551504E-2"/>
                  <c:y val="0.185860249116278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L-PSH'!$AE$163:$AE$168</c:f>
              <c:numCache>
                <c:formatCode>General</c:formatCode>
                <c:ptCount val="6"/>
                <c:pt idx="0">
                  <c:v>350</c:v>
                </c:pt>
                <c:pt idx="1">
                  <c:v>500</c:v>
                </c:pt>
                <c:pt idx="2">
                  <c:v>1000</c:v>
                </c:pt>
                <c:pt idx="3">
                  <c:v>1500</c:v>
                </c:pt>
                <c:pt idx="4">
                  <c:v>2000</c:v>
                </c:pt>
                <c:pt idx="5">
                  <c:v>2250</c:v>
                </c:pt>
              </c:numCache>
            </c:numRef>
          </c:xVal>
          <c:yVal>
            <c:numRef>
              <c:f>'Cost Curves L-PSH'!$AH$163:$AH$168</c:f>
              <c:numCache>
                <c:formatCode>General</c:formatCode>
                <c:ptCount val="6"/>
                <c:pt idx="0">
                  <c:v>121</c:v>
                </c:pt>
                <c:pt idx="1">
                  <c:v>114</c:v>
                </c:pt>
                <c:pt idx="2">
                  <c:v>105</c:v>
                </c:pt>
                <c:pt idx="3">
                  <c:v>105.5</c:v>
                </c:pt>
                <c:pt idx="4">
                  <c:v>107</c:v>
                </c:pt>
                <c:pt idx="5">
                  <c:v>107.5</c:v>
                </c:pt>
              </c:numCache>
            </c:numRef>
          </c:yVal>
          <c:smooth val="0"/>
          <c:extLst>
            <c:ext xmlns:c16="http://schemas.microsoft.com/office/drawing/2014/chart" uri="{C3380CC4-5D6E-409C-BE32-E72D297353CC}">
              <c16:uniqueId val="{00000005-1F7A-DC43-8D51-30CBA5FB7761}"/>
            </c:ext>
          </c:extLst>
        </c:ser>
        <c:ser>
          <c:idx val="3"/>
          <c:order val="3"/>
          <c:tx>
            <c:strRef>
              <c:f>'Cost Curves L-PSH'!$AI$162</c:f>
              <c:strCache>
                <c:ptCount val="1"/>
                <c:pt idx="0">
                  <c:v>2100 MW</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ly"/>
            <c:order val="2"/>
            <c:dispRSqr val="0"/>
            <c:dispEq val="1"/>
            <c:trendlineLbl>
              <c:layout>
                <c:manualLayout>
                  <c:x val="-2.5544475778322289E-2"/>
                  <c:y val="0.2061575987819743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L-PSH'!$AE$163:$AE$168</c:f>
              <c:numCache>
                <c:formatCode>General</c:formatCode>
                <c:ptCount val="6"/>
                <c:pt idx="0">
                  <c:v>350</c:v>
                </c:pt>
                <c:pt idx="1">
                  <c:v>500</c:v>
                </c:pt>
                <c:pt idx="2">
                  <c:v>1000</c:v>
                </c:pt>
                <c:pt idx="3">
                  <c:v>1500</c:v>
                </c:pt>
                <c:pt idx="4">
                  <c:v>2000</c:v>
                </c:pt>
                <c:pt idx="5">
                  <c:v>2250</c:v>
                </c:pt>
              </c:numCache>
            </c:numRef>
          </c:xVal>
          <c:yVal>
            <c:numRef>
              <c:f>'Cost Curves L-PSH'!$AI$163:$AI$168</c:f>
              <c:numCache>
                <c:formatCode>General</c:formatCode>
                <c:ptCount val="6"/>
                <c:pt idx="0">
                  <c:v>117</c:v>
                </c:pt>
                <c:pt idx="1">
                  <c:v>111</c:v>
                </c:pt>
                <c:pt idx="2">
                  <c:v>102</c:v>
                </c:pt>
                <c:pt idx="3">
                  <c:v>103</c:v>
                </c:pt>
                <c:pt idx="4">
                  <c:v>104.5</c:v>
                </c:pt>
                <c:pt idx="5">
                  <c:v>105.5</c:v>
                </c:pt>
              </c:numCache>
            </c:numRef>
          </c:yVal>
          <c:smooth val="0"/>
          <c:extLst>
            <c:ext xmlns:c16="http://schemas.microsoft.com/office/drawing/2014/chart" uri="{C3380CC4-5D6E-409C-BE32-E72D297353CC}">
              <c16:uniqueId val="{00000007-1F7A-DC43-8D51-30CBA5FB7761}"/>
            </c:ext>
          </c:extLst>
        </c:ser>
        <c:dLbls>
          <c:showLegendKey val="0"/>
          <c:showVal val="0"/>
          <c:showCatName val="0"/>
          <c:showSerName val="0"/>
          <c:showPercent val="0"/>
          <c:showBubbleSize val="0"/>
        </c:dLbls>
        <c:axId val="1948530943"/>
        <c:axId val="1975259007"/>
      </c:scatterChart>
      <c:valAx>
        <c:axId val="194853094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5259007"/>
        <c:crosses val="autoZero"/>
        <c:crossBetween val="midCat"/>
      </c:valAx>
      <c:valAx>
        <c:axId val="19752590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85309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Surface Powerstation Equipment Costs $/kW</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L-PSH'!$L$204</c:f>
              <c:strCache>
                <c:ptCount val="1"/>
                <c:pt idx="0">
                  <c:v>250 MW</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0.20856888869901138"/>
                  <c:y val="0.1624417634037085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L-PSH'!$K$205:$K$210</c:f>
              <c:numCache>
                <c:formatCode>General</c:formatCode>
                <c:ptCount val="6"/>
                <c:pt idx="0">
                  <c:v>350</c:v>
                </c:pt>
                <c:pt idx="1">
                  <c:v>500</c:v>
                </c:pt>
                <c:pt idx="2">
                  <c:v>1000</c:v>
                </c:pt>
                <c:pt idx="3">
                  <c:v>1500</c:v>
                </c:pt>
                <c:pt idx="4">
                  <c:v>2000</c:v>
                </c:pt>
                <c:pt idx="5">
                  <c:v>2250</c:v>
                </c:pt>
              </c:numCache>
            </c:numRef>
          </c:xVal>
          <c:yVal>
            <c:numRef>
              <c:f>'Cost Curves L-PSH'!$L$205:$L$210</c:f>
              <c:numCache>
                <c:formatCode>General</c:formatCode>
                <c:ptCount val="6"/>
                <c:pt idx="0">
                  <c:v>200</c:v>
                </c:pt>
                <c:pt idx="1">
                  <c:v>189</c:v>
                </c:pt>
                <c:pt idx="2">
                  <c:v>180</c:v>
                </c:pt>
                <c:pt idx="3">
                  <c:v>181.5</c:v>
                </c:pt>
                <c:pt idx="4">
                  <c:v>187.5</c:v>
                </c:pt>
                <c:pt idx="5">
                  <c:v>194</c:v>
                </c:pt>
              </c:numCache>
            </c:numRef>
          </c:yVal>
          <c:smooth val="0"/>
          <c:extLst>
            <c:ext xmlns:c16="http://schemas.microsoft.com/office/drawing/2014/chart" uri="{C3380CC4-5D6E-409C-BE32-E72D297353CC}">
              <c16:uniqueId val="{00000001-CDBD-0A46-8495-5829341DB352}"/>
            </c:ext>
          </c:extLst>
        </c:ser>
        <c:ser>
          <c:idx val="1"/>
          <c:order val="1"/>
          <c:tx>
            <c:strRef>
              <c:f>'Cost Curves L-PSH'!$M$204</c:f>
              <c:strCache>
                <c:ptCount val="1"/>
                <c:pt idx="0">
                  <c:v>375 MW</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0.22307233483875155"/>
                  <c:y val="0.1908150432187525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L-PSH'!$K$205:$K$210</c:f>
              <c:numCache>
                <c:formatCode>General</c:formatCode>
                <c:ptCount val="6"/>
                <c:pt idx="0">
                  <c:v>350</c:v>
                </c:pt>
                <c:pt idx="1">
                  <c:v>500</c:v>
                </c:pt>
                <c:pt idx="2">
                  <c:v>1000</c:v>
                </c:pt>
                <c:pt idx="3">
                  <c:v>1500</c:v>
                </c:pt>
                <c:pt idx="4">
                  <c:v>2000</c:v>
                </c:pt>
                <c:pt idx="5">
                  <c:v>2250</c:v>
                </c:pt>
              </c:numCache>
            </c:numRef>
          </c:xVal>
          <c:yVal>
            <c:numRef>
              <c:f>'Cost Curves L-PSH'!$M$205:$M$210</c:f>
              <c:numCache>
                <c:formatCode>General</c:formatCode>
                <c:ptCount val="6"/>
                <c:pt idx="0">
                  <c:v>190</c:v>
                </c:pt>
                <c:pt idx="1">
                  <c:v>179.5</c:v>
                </c:pt>
                <c:pt idx="2">
                  <c:v>170.5</c:v>
                </c:pt>
                <c:pt idx="3">
                  <c:v>174</c:v>
                </c:pt>
                <c:pt idx="4">
                  <c:v>180</c:v>
                </c:pt>
                <c:pt idx="5">
                  <c:v>185</c:v>
                </c:pt>
              </c:numCache>
            </c:numRef>
          </c:yVal>
          <c:smooth val="0"/>
          <c:extLst>
            <c:ext xmlns:c16="http://schemas.microsoft.com/office/drawing/2014/chart" uri="{C3380CC4-5D6E-409C-BE32-E72D297353CC}">
              <c16:uniqueId val="{00000003-CDBD-0A46-8495-5829341DB352}"/>
            </c:ext>
          </c:extLst>
        </c:ser>
        <c:ser>
          <c:idx val="2"/>
          <c:order val="2"/>
          <c:tx>
            <c:strRef>
              <c:f>'Cost Curves L-PSH'!$N$204</c:f>
              <c:strCache>
                <c:ptCount val="1"/>
                <c:pt idx="0">
                  <c:v>500 MW</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0"/>
            <c:dispEq val="1"/>
            <c:trendlineLbl>
              <c:layout>
                <c:manualLayout>
                  <c:x val="-0.21785526788201048"/>
                  <c:y val="0.2263232405563373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L-PSH'!$K$205:$K$210</c:f>
              <c:numCache>
                <c:formatCode>General</c:formatCode>
                <c:ptCount val="6"/>
                <c:pt idx="0">
                  <c:v>350</c:v>
                </c:pt>
                <c:pt idx="1">
                  <c:v>500</c:v>
                </c:pt>
                <c:pt idx="2">
                  <c:v>1000</c:v>
                </c:pt>
                <c:pt idx="3">
                  <c:v>1500</c:v>
                </c:pt>
                <c:pt idx="4">
                  <c:v>2000</c:v>
                </c:pt>
                <c:pt idx="5">
                  <c:v>2250</c:v>
                </c:pt>
              </c:numCache>
            </c:numRef>
          </c:xVal>
          <c:yVal>
            <c:numRef>
              <c:f>'Cost Curves L-PSH'!$N$205:$N$210</c:f>
              <c:numCache>
                <c:formatCode>General</c:formatCode>
                <c:ptCount val="6"/>
                <c:pt idx="0">
                  <c:v>185</c:v>
                </c:pt>
                <c:pt idx="1">
                  <c:v>176</c:v>
                </c:pt>
                <c:pt idx="2">
                  <c:v>167</c:v>
                </c:pt>
                <c:pt idx="3">
                  <c:v>168</c:v>
                </c:pt>
                <c:pt idx="4">
                  <c:v>176</c:v>
                </c:pt>
                <c:pt idx="5">
                  <c:v>180</c:v>
                </c:pt>
              </c:numCache>
            </c:numRef>
          </c:yVal>
          <c:smooth val="0"/>
          <c:extLst>
            <c:ext xmlns:c16="http://schemas.microsoft.com/office/drawing/2014/chart" uri="{C3380CC4-5D6E-409C-BE32-E72D297353CC}">
              <c16:uniqueId val="{00000005-CDBD-0A46-8495-5829341DB352}"/>
            </c:ext>
          </c:extLst>
        </c:ser>
        <c:ser>
          <c:idx val="3"/>
          <c:order val="3"/>
          <c:tx>
            <c:strRef>
              <c:f>'Cost Curves L-PSH'!$O$204</c:f>
              <c:strCache>
                <c:ptCount val="1"/>
                <c:pt idx="0">
                  <c:v>750 MW</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ly"/>
            <c:order val="2"/>
            <c:dispRSqr val="0"/>
            <c:dispEq val="1"/>
            <c:trendlineLbl>
              <c:layout>
                <c:manualLayout>
                  <c:x val="-0.2330630180609107"/>
                  <c:y val="0.2662186731326055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L-PSH'!$K$205:$K$210</c:f>
              <c:numCache>
                <c:formatCode>General</c:formatCode>
                <c:ptCount val="6"/>
                <c:pt idx="0">
                  <c:v>350</c:v>
                </c:pt>
                <c:pt idx="1">
                  <c:v>500</c:v>
                </c:pt>
                <c:pt idx="2">
                  <c:v>1000</c:v>
                </c:pt>
                <c:pt idx="3">
                  <c:v>1500</c:v>
                </c:pt>
                <c:pt idx="4">
                  <c:v>2000</c:v>
                </c:pt>
                <c:pt idx="5">
                  <c:v>2250</c:v>
                </c:pt>
              </c:numCache>
            </c:numRef>
          </c:xVal>
          <c:yVal>
            <c:numRef>
              <c:f>'Cost Curves L-PSH'!$O$205:$O$210</c:f>
              <c:numCache>
                <c:formatCode>General</c:formatCode>
                <c:ptCount val="6"/>
                <c:pt idx="0">
                  <c:v>183</c:v>
                </c:pt>
                <c:pt idx="1">
                  <c:v>171.5</c:v>
                </c:pt>
                <c:pt idx="2">
                  <c:v>162</c:v>
                </c:pt>
                <c:pt idx="3">
                  <c:v>164</c:v>
                </c:pt>
                <c:pt idx="4">
                  <c:v>173</c:v>
                </c:pt>
                <c:pt idx="5">
                  <c:v>176</c:v>
                </c:pt>
              </c:numCache>
            </c:numRef>
          </c:yVal>
          <c:smooth val="0"/>
          <c:extLst>
            <c:ext xmlns:c16="http://schemas.microsoft.com/office/drawing/2014/chart" uri="{C3380CC4-5D6E-409C-BE32-E72D297353CC}">
              <c16:uniqueId val="{00000007-CDBD-0A46-8495-5829341DB352}"/>
            </c:ext>
          </c:extLst>
        </c:ser>
        <c:dLbls>
          <c:showLegendKey val="0"/>
          <c:showVal val="0"/>
          <c:showCatName val="0"/>
          <c:showSerName val="0"/>
          <c:showPercent val="0"/>
          <c:showBubbleSize val="0"/>
        </c:dLbls>
        <c:axId val="1974972671"/>
        <c:axId val="1975319647"/>
      </c:scatterChart>
      <c:valAx>
        <c:axId val="197497267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5319647"/>
        <c:crosses val="autoZero"/>
        <c:crossBetween val="midCat"/>
      </c:valAx>
      <c:valAx>
        <c:axId val="197531964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9726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kern="1200" spc="0" baseline="0">
                <a:solidFill>
                  <a:srgbClr val="595959"/>
                </a:solidFill>
                <a:effectLst/>
                <a:latin typeface="Calibri" panose="020F0502020204030204" pitchFamily="34" charset="0"/>
              </a:rPr>
              <a:t>Surface Powerstation Equipment Costs $/kW</a:t>
            </a:r>
            <a:endParaRPr lang="en-US">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scatterChart>
        <c:scatterStyle val="lineMarker"/>
        <c:varyColors val="0"/>
        <c:ser>
          <c:idx val="0"/>
          <c:order val="0"/>
          <c:tx>
            <c:strRef>
              <c:f>'Cost Curves L-PSH'!$B$204</c:f>
              <c:strCache>
                <c:ptCount val="1"/>
                <c:pt idx="0">
                  <c:v>160 MW</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0.33038413768849356"/>
                  <c:y val="-6.80600303646232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L-PSH'!$A$205:$A$210</c:f>
              <c:numCache>
                <c:formatCode>General</c:formatCode>
                <c:ptCount val="6"/>
                <c:pt idx="0">
                  <c:v>350</c:v>
                </c:pt>
                <c:pt idx="1">
                  <c:v>500</c:v>
                </c:pt>
                <c:pt idx="2">
                  <c:v>1000</c:v>
                </c:pt>
                <c:pt idx="3">
                  <c:v>1500</c:v>
                </c:pt>
                <c:pt idx="4">
                  <c:v>2000</c:v>
                </c:pt>
                <c:pt idx="5">
                  <c:v>2250</c:v>
                </c:pt>
              </c:numCache>
            </c:numRef>
          </c:xVal>
          <c:yVal>
            <c:numRef>
              <c:f>'Cost Curves L-PSH'!$B$205:$B$210</c:f>
              <c:numCache>
                <c:formatCode>General</c:formatCode>
                <c:ptCount val="6"/>
                <c:pt idx="0">
                  <c:v>237</c:v>
                </c:pt>
                <c:pt idx="1">
                  <c:v>236.5</c:v>
                </c:pt>
                <c:pt idx="2">
                  <c:v>234</c:v>
                </c:pt>
                <c:pt idx="3">
                  <c:v>234.5</c:v>
                </c:pt>
                <c:pt idx="4">
                  <c:v>238.5</c:v>
                </c:pt>
                <c:pt idx="5">
                  <c:v>245</c:v>
                </c:pt>
              </c:numCache>
            </c:numRef>
          </c:yVal>
          <c:smooth val="0"/>
          <c:extLst>
            <c:ext xmlns:c16="http://schemas.microsoft.com/office/drawing/2014/chart" uri="{C3380CC4-5D6E-409C-BE32-E72D297353CC}">
              <c16:uniqueId val="{00000001-4C60-E44A-973D-648653EE7503}"/>
            </c:ext>
          </c:extLst>
        </c:ser>
        <c:ser>
          <c:idx val="1"/>
          <c:order val="1"/>
          <c:tx>
            <c:strRef>
              <c:f>'Cost Curves L-PSH'!$C$204</c:f>
              <c:strCache>
                <c:ptCount val="1"/>
                <c:pt idx="0">
                  <c:v>240 MW</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0.33791257595364682"/>
                  <c:y val="-0.2011886972517196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L-PSH'!$A$205:$A$210</c:f>
              <c:numCache>
                <c:formatCode>General</c:formatCode>
                <c:ptCount val="6"/>
                <c:pt idx="0">
                  <c:v>350</c:v>
                </c:pt>
                <c:pt idx="1">
                  <c:v>500</c:v>
                </c:pt>
                <c:pt idx="2">
                  <c:v>1000</c:v>
                </c:pt>
                <c:pt idx="3">
                  <c:v>1500</c:v>
                </c:pt>
                <c:pt idx="4">
                  <c:v>2000</c:v>
                </c:pt>
                <c:pt idx="5">
                  <c:v>2250</c:v>
                </c:pt>
              </c:numCache>
            </c:numRef>
          </c:xVal>
          <c:yVal>
            <c:numRef>
              <c:f>'Cost Curves L-PSH'!$C$205:$C$210</c:f>
              <c:numCache>
                <c:formatCode>General</c:formatCode>
                <c:ptCount val="6"/>
                <c:pt idx="0">
                  <c:v>225</c:v>
                </c:pt>
                <c:pt idx="1">
                  <c:v>224</c:v>
                </c:pt>
                <c:pt idx="2">
                  <c:v>222</c:v>
                </c:pt>
                <c:pt idx="3">
                  <c:v>223</c:v>
                </c:pt>
                <c:pt idx="4">
                  <c:v>228</c:v>
                </c:pt>
                <c:pt idx="5">
                  <c:v>234</c:v>
                </c:pt>
              </c:numCache>
            </c:numRef>
          </c:yVal>
          <c:smooth val="0"/>
          <c:extLst>
            <c:ext xmlns:c16="http://schemas.microsoft.com/office/drawing/2014/chart" uri="{C3380CC4-5D6E-409C-BE32-E72D297353CC}">
              <c16:uniqueId val="{00000003-4C60-E44A-973D-648653EE7503}"/>
            </c:ext>
          </c:extLst>
        </c:ser>
        <c:ser>
          <c:idx val="2"/>
          <c:order val="2"/>
          <c:tx>
            <c:strRef>
              <c:f>'Cost Curves L-PSH'!$D$204</c:f>
              <c:strCache>
                <c:ptCount val="1"/>
                <c:pt idx="0">
                  <c:v>320 MW</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0"/>
            <c:dispEq val="1"/>
            <c:trendlineLbl>
              <c:layout>
                <c:manualLayout>
                  <c:x val="-0.32932243485622836"/>
                  <c:y val="-0.2364410081328319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L-PSH'!$A$205:$A$210</c:f>
              <c:numCache>
                <c:formatCode>General</c:formatCode>
                <c:ptCount val="6"/>
                <c:pt idx="0">
                  <c:v>350</c:v>
                </c:pt>
                <c:pt idx="1">
                  <c:v>500</c:v>
                </c:pt>
                <c:pt idx="2">
                  <c:v>1000</c:v>
                </c:pt>
                <c:pt idx="3">
                  <c:v>1500</c:v>
                </c:pt>
                <c:pt idx="4">
                  <c:v>2000</c:v>
                </c:pt>
                <c:pt idx="5">
                  <c:v>2250</c:v>
                </c:pt>
              </c:numCache>
            </c:numRef>
          </c:xVal>
          <c:yVal>
            <c:numRef>
              <c:f>'Cost Curves L-PSH'!$D$205:$D$210</c:f>
              <c:numCache>
                <c:formatCode>General</c:formatCode>
                <c:ptCount val="6"/>
                <c:pt idx="0">
                  <c:v>219</c:v>
                </c:pt>
                <c:pt idx="1">
                  <c:v>217</c:v>
                </c:pt>
                <c:pt idx="2">
                  <c:v>216</c:v>
                </c:pt>
                <c:pt idx="3">
                  <c:v>216.5</c:v>
                </c:pt>
                <c:pt idx="4">
                  <c:v>224</c:v>
                </c:pt>
                <c:pt idx="5">
                  <c:v>228</c:v>
                </c:pt>
              </c:numCache>
            </c:numRef>
          </c:yVal>
          <c:smooth val="0"/>
          <c:extLst>
            <c:ext xmlns:c16="http://schemas.microsoft.com/office/drawing/2014/chart" uri="{C3380CC4-5D6E-409C-BE32-E72D297353CC}">
              <c16:uniqueId val="{00000005-4C60-E44A-973D-648653EE7503}"/>
            </c:ext>
          </c:extLst>
        </c:ser>
        <c:ser>
          <c:idx val="3"/>
          <c:order val="3"/>
          <c:tx>
            <c:strRef>
              <c:f>'Cost Curves L-PSH'!$E$204</c:f>
              <c:strCache>
                <c:ptCount val="1"/>
                <c:pt idx="0">
                  <c:v>480 MW</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ly"/>
            <c:order val="2"/>
            <c:dispRSqr val="0"/>
            <c:dispEq val="1"/>
            <c:trendlineLbl>
              <c:layout>
                <c:manualLayout>
                  <c:x val="-0.31590637179396808"/>
                  <c:y val="-0.2971561573799960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L-PSH'!$A$205:$A$210</c:f>
              <c:numCache>
                <c:formatCode>General</c:formatCode>
                <c:ptCount val="6"/>
                <c:pt idx="0">
                  <c:v>350</c:v>
                </c:pt>
                <c:pt idx="1">
                  <c:v>500</c:v>
                </c:pt>
                <c:pt idx="2">
                  <c:v>1000</c:v>
                </c:pt>
                <c:pt idx="3">
                  <c:v>1500</c:v>
                </c:pt>
                <c:pt idx="4">
                  <c:v>2000</c:v>
                </c:pt>
                <c:pt idx="5">
                  <c:v>2250</c:v>
                </c:pt>
              </c:numCache>
            </c:numRef>
          </c:xVal>
          <c:yVal>
            <c:numRef>
              <c:f>'Cost Curves L-PSH'!$E$205:$E$210</c:f>
              <c:numCache>
                <c:formatCode>General</c:formatCode>
                <c:ptCount val="6"/>
                <c:pt idx="0">
                  <c:v>214</c:v>
                </c:pt>
                <c:pt idx="1">
                  <c:v>213</c:v>
                </c:pt>
                <c:pt idx="2">
                  <c:v>210</c:v>
                </c:pt>
                <c:pt idx="3">
                  <c:v>212</c:v>
                </c:pt>
                <c:pt idx="4">
                  <c:v>217</c:v>
                </c:pt>
                <c:pt idx="5">
                  <c:v>222</c:v>
                </c:pt>
              </c:numCache>
            </c:numRef>
          </c:yVal>
          <c:smooth val="0"/>
          <c:extLst>
            <c:ext xmlns:c16="http://schemas.microsoft.com/office/drawing/2014/chart" uri="{C3380CC4-5D6E-409C-BE32-E72D297353CC}">
              <c16:uniqueId val="{00000007-4C60-E44A-973D-648653EE7503}"/>
            </c:ext>
          </c:extLst>
        </c:ser>
        <c:dLbls>
          <c:showLegendKey val="0"/>
          <c:showVal val="0"/>
          <c:showCatName val="0"/>
          <c:showSerName val="0"/>
          <c:showPercent val="0"/>
          <c:showBubbleSize val="0"/>
        </c:dLbls>
        <c:axId val="1478812591"/>
        <c:axId val="1478814239"/>
      </c:scatterChart>
      <c:valAx>
        <c:axId val="14788125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8814239"/>
        <c:crosses val="autoZero"/>
        <c:crossBetween val="midCat"/>
      </c:valAx>
      <c:valAx>
        <c:axId val="1478814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88125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kern="1200" spc="0" baseline="0">
                <a:solidFill>
                  <a:srgbClr val="595959"/>
                </a:solidFill>
                <a:effectLst/>
                <a:latin typeface="Calibri" panose="020F0502020204030204" pitchFamily="34" charset="0"/>
              </a:rPr>
              <a:t>Surface Powerstation Equipment Costs $/kW</a:t>
            </a:r>
            <a:endParaRPr lang="en-US">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scatterChart>
        <c:scatterStyle val="lineMarker"/>
        <c:varyColors val="0"/>
        <c:ser>
          <c:idx val="0"/>
          <c:order val="0"/>
          <c:tx>
            <c:strRef>
              <c:f>'Cost Curves L-PSH'!$V$204</c:f>
              <c:strCache>
                <c:ptCount val="1"/>
                <c:pt idx="0">
                  <c:v>450 MW</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9.6401949129078457E-2"/>
                  <c:y val="0.1658525354869348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L-PSH'!$U$205:$U$210</c:f>
              <c:numCache>
                <c:formatCode>General</c:formatCode>
                <c:ptCount val="6"/>
                <c:pt idx="0">
                  <c:v>350</c:v>
                </c:pt>
                <c:pt idx="1">
                  <c:v>500</c:v>
                </c:pt>
                <c:pt idx="2">
                  <c:v>1000</c:v>
                </c:pt>
                <c:pt idx="3">
                  <c:v>1500</c:v>
                </c:pt>
                <c:pt idx="4">
                  <c:v>2000</c:v>
                </c:pt>
                <c:pt idx="5">
                  <c:v>2250</c:v>
                </c:pt>
              </c:numCache>
            </c:numRef>
          </c:xVal>
          <c:yVal>
            <c:numRef>
              <c:f>'Cost Curves L-PSH'!$V$205:$V$210</c:f>
              <c:numCache>
                <c:formatCode>General</c:formatCode>
                <c:ptCount val="6"/>
                <c:pt idx="0">
                  <c:v>157</c:v>
                </c:pt>
                <c:pt idx="1">
                  <c:v>151</c:v>
                </c:pt>
                <c:pt idx="2">
                  <c:v>144</c:v>
                </c:pt>
                <c:pt idx="3">
                  <c:v>144</c:v>
                </c:pt>
                <c:pt idx="4">
                  <c:v>146</c:v>
                </c:pt>
                <c:pt idx="5">
                  <c:v>150</c:v>
                </c:pt>
              </c:numCache>
            </c:numRef>
          </c:yVal>
          <c:smooth val="0"/>
          <c:extLst>
            <c:ext xmlns:c16="http://schemas.microsoft.com/office/drawing/2014/chart" uri="{C3380CC4-5D6E-409C-BE32-E72D297353CC}">
              <c16:uniqueId val="{00000001-109F-F249-9A6B-1C222349E3E0}"/>
            </c:ext>
          </c:extLst>
        </c:ser>
        <c:ser>
          <c:idx val="1"/>
          <c:order val="1"/>
          <c:tx>
            <c:strRef>
              <c:f>'Cost Curves L-PSH'!$W$204</c:f>
              <c:strCache>
                <c:ptCount val="1"/>
                <c:pt idx="0">
                  <c:v>675 MW</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9.6401949129078457E-2"/>
                  <c:y val="0.1881166264222122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L-PSH'!$U$205:$U$210</c:f>
              <c:numCache>
                <c:formatCode>General</c:formatCode>
                <c:ptCount val="6"/>
                <c:pt idx="0">
                  <c:v>350</c:v>
                </c:pt>
                <c:pt idx="1">
                  <c:v>500</c:v>
                </c:pt>
                <c:pt idx="2">
                  <c:v>1000</c:v>
                </c:pt>
                <c:pt idx="3">
                  <c:v>1500</c:v>
                </c:pt>
                <c:pt idx="4">
                  <c:v>2000</c:v>
                </c:pt>
                <c:pt idx="5">
                  <c:v>2250</c:v>
                </c:pt>
              </c:numCache>
            </c:numRef>
          </c:xVal>
          <c:yVal>
            <c:numRef>
              <c:f>'Cost Curves L-PSH'!$W$205:$W$210</c:f>
              <c:numCache>
                <c:formatCode>General</c:formatCode>
                <c:ptCount val="6"/>
                <c:pt idx="0">
                  <c:v>151</c:v>
                </c:pt>
                <c:pt idx="1">
                  <c:v>144.5</c:v>
                </c:pt>
                <c:pt idx="2">
                  <c:v>137</c:v>
                </c:pt>
                <c:pt idx="3">
                  <c:v>137.5</c:v>
                </c:pt>
                <c:pt idx="4">
                  <c:v>143</c:v>
                </c:pt>
                <c:pt idx="5">
                  <c:v>144.5</c:v>
                </c:pt>
              </c:numCache>
            </c:numRef>
          </c:yVal>
          <c:smooth val="0"/>
          <c:extLst>
            <c:ext xmlns:c16="http://schemas.microsoft.com/office/drawing/2014/chart" uri="{C3380CC4-5D6E-409C-BE32-E72D297353CC}">
              <c16:uniqueId val="{00000003-109F-F249-9A6B-1C222349E3E0}"/>
            </c:ext>
          </c:extLst>
        </c:ser>
        <c:ser>
          <c:idx val="2"/>
          <c:order val="2"/>
          <c:tx>
            <c:strRef>
              <c:f>'Cost Curves L-PSH'!$X$204</c:f>
              <c:strCache>
                <c:ptCount val="1"/>
                <c:pt idx="0">
                  <c:v>900 MW</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0"/>
            <c:dispEq val="1"/>
            <c:trendlineLbl>
              <c:layout>
                <c:manualLayout>
                  <c:x val="-9.6401949129078457E-2"/>
                  <c:y val="0.2071154899685905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L-PSH'!$U$205:$U$210</c:f>
              <c:numCache>
                <c:formatCode>General</c:formatCode>
                <c:ptCount val="6"/>
                <c:pt idx="0">
                  <c:v>350</c:v>
                </c:pt>
                <c:pt idx="1">
                  <c:v>500</c:v>
                </c:pt>
                <c:pt idx="2">
                  <c:v>1000</c:v>
                </c:pt>
                <c:pt idx="3">
                  <c:v>1500</c:v>
                </c:pt>
                <c:pt idx="4">
                  <c:v>2000</c:v>
                </c:pt>
                <c:pt idx="5">
                  <c:v>2250</c:v>
                </c:pt>
              </c:numCache>
            </c:numRef>
          </c:xVal>
          <c:yVal>
            <c:numRef>
              <c:f>'Cost Curves L-PSH'!$X$205:$X$210</c:f>
              <c:numCache>
                <c:formatCode>General</c:formatCode>
                <c:ptCount val="6"/>
                <c:pt idx="0">
                  <c:v>146</c:v>
                </c:pt>
                <c:pt idx="1">
                  <c:v>142</c:v>
                </c:pt>
                <c:pt idx="2">
                  <c:v>134</c:v>
                </c:pt>
                <c:pt idx="3">
                  <c:v>134</c:v>
                </c:pt>
                <c:pt idx="4">
                  <c:v>137</c:v>
                </c:pt>
                <c:pt idx="5">
                  <c:v>140.5</c:v>
                </c:pt>
              </c:numCache>
            </c:numRef>
          </c:yVal>
          <c:smooth val="0"/>
          <c:extLst>
            <c:ext xmlns:c16="http://schemas.microsoft.com/office/drawing/2014/chart" uri="{C3380CC4-5D6E-409C-BE32-E72D297353CC}">
              <c16:uniqueId val="{00000005-109F-F249-9A6B-1C222349E3E0}"/>
            </c:ext>
          </c:extLst>
        </c:ser>
        <c:ser>
          <c:idx val="3"/>
          <c:order val="3"/>
          <c:tx>
            <c:strRef>
              <c:f>'Cost Curves L-PSH'!$Y$204</c:f>
              <c:strCache>
                <c:ptCount val="1"/>
                <c:pt idx="0">
                  <c:v>1350 MW</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ly"/>
            <c:order val="2"/>
            <c:dispRSqr val="0"/>
            <c:dispEq val="1"/>
            <c:trendlineLbl>
              <c:layout>
                <c:manualLayout>
                  <c:x val="-9.6401949129078457E-2"/>
                  <c:y val="0.2405497095429954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L-PSH'!$U$205:$U$210</c:f>
              <c:numCache>
                <c:formatCode>General</c:formatCode>
                <c:ptCount val="6"/>
                <c:pt idx="0">
                  <c:v>350</c:v>
                </c:pt>
                <c:pt idx="1">
                  <c:v>500</c:v>
                </c:pt>
                <c:pt idx="2">
                  <c:v>1000</c:v>
                </c:pt>
                <c:pt idx="3">
                  <c:v>1500</c:v>
                </c:pt>
                <c:pt idx="4">
                  <c:v>2000</c:v>
                </c:pt>
                <c:pt idx="5">
                  <c:v>2250</c:v>
                </c:pt>
              </c:numCache>
            </c:numRef>
          </c:xVal>
          <c:yVal>
            <c:numRef>
              <c:f>'Cost Curves L-PSH'!$Y$205:$Y$210</c:f>
              <c:numCache>
                <c:formatCode>General</c:formatCode>
                <c:ptCount val="6"/>
                <c:pt idx="0">
                  <c:v>144</c:v>
                </c:pt>
                <c:pt idx="1">
                  <c:v>136</c:v>
                </c:pt>
                <c:pt idx="2">
                  <c:v>130.5</c:v>
                </c:pt>
                <c:pt idx="3">
                  <c:v>131</c:v>
                </c:pt>
                <c:pt idx="4">
                  <c:v>135</c:v>
                </c:pt>
                <c:pt idx="5">
                  <c:v>137</c:v>
                </c:pt>
              </c:numCache>
            </c:numRef>
          </c:yVal>
          <c:smooth val="0"/>
          <c:extLst>
            <c:ext xmlns:c16="http://schemas.microsoft.com/office/drawing/2014/chart" uri="{C3380CC4-5D6E-409C-BE32-E72D297353CC}">
              <c16:uniqueId val="{00000007-109F-F249-9A6B-1C222349E3E0}"/>
            </c:ext>
          </c:extLst>
        </c:ser>
        <c:dLbls>
          <c:showLegendKey val="0"/>
          <c:showVal val="0"/>
          <c:showCatName val="0"/>
          <c:showSerName val="0"/>
          <c:showPercent val="0"/>
          <c:showBubbleSize val="0"/>
        </c:dLbls>
        <c:axId val="1949426287"/>
        <c:axId val="2005312415"/>
      </c:scatterChart>
      <c:valAx>
        <c:axId val="194942628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5312415"/>
        <c:crosses val="autoZero"/>
        <c:crossBetween val="midCat"/>
      </c:valAx>
      <c:valAx>
        <c:axId val="20053124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942628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kern="1200" spc="0" baseline="0">
                <a:solidFill>
                  <a:srgbClr val="595959"/>
                </a:solidFill>
                <a:effectLst/>
                <a:latin typeface="Calibri" panose="020F0502020204030204" pitchFamily="34" charset="0"/>
              </a:rPr>
              <a:t>Surface Powerstation Equipment Costs $/kW</a:t>
            </a:r>
            <a:endParaRPr lang="en-US">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scatterChart>
        <c:scatterStyle val="lineMarker"/>
        <c:varyColors val="0"/>
        <c:ser>
          <c:idx val="0"/>
          <c:order val="0"/>
          <c:tx>
            <c:strRef>
              <c:f>'Cost Curves L-PSH'!$AF$204</c:f>
              <c:strCache>
                <c:ptCount val="1"/>
                <c:pt idx="0">
                  <c:v>700 MW</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0.10889951212117177"/>
                  <c:y val="0.1645630913567233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L-PSH'!$AE$205:$AE$210</c:f>
              <c:numCache>
                <c:formatCode>General</c:formatCode>
                <c:ptCount val="6"/>
                <c:pt idx="0">
                  <c:v>350</c:v>
                </c:pt>
                <c:pt idx="1">
                  <c:v>500</c:v>
                </c:pt>
                <c:pt idx="2">
                  <c:v>1000</c:v>
                </c:pt>
                <c:pt idx="3">
                  <c:v>1500</c:v>
                </c:pt>
                <c:pt idx="4">
                  <c:v>2000</c:v>
                </c:pt>
                <c:pt idx="5">
                  <c:v>2250</c:v>
                </c:pt>
              </c:numCache>
            </c:numRef>
          </c:xVal>
          <c:yVal>
            <c:numRef>
              <c:f>'Cost Curves L-PSH'!$AF$205:$AF$210</c:f>
              <c:numCache>
                <c:formatCode>General</c:formatCode>
                <c:ptCount val="6"/>
                <c:pt idx="0">
                  <c:v>133</c:v>
                </c:pt>
                <c:pt idx="1">
                  <c:v>124</c:v>
                </c:pt>
                <c:pt idx="2">
                  <c:v>111.5</c:v>
                </c:pt>
                <c:pt idx="3">
                  <c:v>110</c:v>
                </c:pt>
                <c:pt idx="4">
                  <c:v>110.5</c:v>
                </c:pt>
                <c:pt idx="5">
                  <c:v>111</c:v>
                </c:pt>
              </c:numCache>
            </c:numRef>
          </c:yVal>
          <c:smooth val="0"/>
          <c:extLst>
            <c:ext xmlns:c16="http://schemas.microsoft.com/office/drawing/2014/chart" uri="{C3380CC4-5D6E-409C-BE32-E72D297353CC}">
              <c16:uniqueId val="{00000001-69D1-3848-89C0-C3193B59F9D5}"/>
            </c:ext>
          </c:extLst>
        </c:ser>
        <c:ser>
          <c:idx val="1"/>
          <c:order val="1"/>
          <c:tx>
            <c:strRef>
              <c:f>'Cost Curves L-PSH'!$AG$204</c:f>
              <c:strCache>
                <c:ptCount val="1"/>
                <c:pt idx="0">
                  <c:v>1050 MW</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0.11555998512701955"/>
                  <c:y val="0.1725935671812393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L-PSH'!$AE$205:$AE$210</c:f>
              <c:numCache>
                <c:formatCode>General</c:formatCode>
                <c:ptCount val="6"/>
                <c:pt idx="0">
                  <c:v>350</c:v>
                </c:pt>
                <c:pt idx="1">
                  <c:v>500</c:v>
                </c:pt>
                <c:pt idx="2">
                  <c:v>1000</c:v>
                </c:pt>
                <c:pt idx="3">
                  <c:v>1500</c:v>
                </c:pt>
                <c:pt idx="4">
                  <c:v>2000</c:v>
                </c:pt>
                <c:pt idx="5">
                  <c:v>2250</c:v>
                </c:pt>
              </c:numCache>
            </c:numRef>
          </c:xVal>
          <c:yVal>
            <c:numRef>
              <c:f>'Cost Curves L-PSH'!$AG$205:$AG$210</c:f>
              <c:numCache>
                <c:formatCode>General</c:formatCode>
                <c:ptCount val="6"/>
                <c:pt idx="0">
                  <c:v>126</c:v>
                </c:pt>
                <c:pt idx="1">
                  <c:v>117</c:v>
                </c:pt>
                <c:pt idx="2">
                  <c:v>105.5</c:v>
                </c:pt>
                <c:pt idx="3">
                  <c:v>105</c:v>
                </c:pt>
                <c:pt idx="4">
                  <c:v>105</c:v>
                </c:pt>
                <c:pt idx="5">
                  <c:v>105.3</c:v>
                </c:pt>
              </c:numCache>
            </c:numRef>
          </c:yVal>
          <c:smooth val="0"/>
          <c:extLst>
            <c:ext xmlns:c16="http://schemas.microsoft.com/office/drawing/2014/chart" uri="{C3380CC4-5D6E-409C-BE32-E72D297353CC}">
              <c16:uniqueId val="{00000003-69D1-3848-89C0-C3193B59F9D5}"/>
            </c:ext>
          </c:extLst>
        </c:ser>
        <c:ser>
          <c:idx val="2"/>
          <c:order val="2"/>
          <c:tx>
            <c:strRef>
              <c:f>'Cost Curves L-PSH'!$AH$204</c:f>
              <c:strCache>
                <c:ptCount val="1"/>
                <c:pt idx="0">
                  <c:v>1400 MW</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0"/>
            <c:dispEq val="0"/>
          </c:trendline>
          <c:trendline>
            <c:spPr>
              <a:ln w="19050" cap="rnd">
                <a:solidFill>
                  <a:schemeClr val="accent3"/>
                </a:solidFill>
                <a:prstDash val="sysDot"/>
              </a:ln>
              <a:effectLst/>
            </c:spPr>
            <c:trendlineType val="poly"/>
            <c:order val="2"/>
            <c:dispRSqr val="0"/>
            <c:dispEq val="1"/>
            <c:trendlineLbl>
              <c:layout>
                <c:manualLayout>
                  <c:x val="-0.10369601758535318"/>
                  <c:y val="0.2052016349145252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L-PSH'!$AE$205:$AE$210</c:f>
              <c:numCache>
                <c:formatCode>General</c:formatCode>
                <c:ptCount val="6"/>
                <c:pt idx="0">
                  <c:v>350</c:v>
                </c:pt>
                <c:pt idx="1">
                  <c:v>500</c:v>
                </c:pt>
                <c:pt idx="2">
                  <c:v>1000</c:v>
                </c:pt>
                <c:pt idx="3">
                  <c:v>1500</c:v>
                </c:pt>
                <c:pt idx="4">
                  <c:v>2000</c:v>
                </c:pt>
                <c:pt idx="5">
                  <c:v>2250</c:v>
                </c:pt>
              </c:numCache>
            </c:numRef>
          </c:xVal>
          <c:yVal>
            <c:numRef>
              <c:f>'Cost Curves L-PSH'!$AH$205:$AH$210</c:f>
              <c:numCache>
                <c:formatCode>General</c:formatCode>
                <c:ptCount val="6"/>
                <c:pt idx="0">
                  <c:v>124</c:v>
                </c:pt>
                <c:pt idx="1">
                  <c:v>115</c:v>
                </c:pt>
                <c:pt idx="2">
                  <c:v>104</c:v>
                </c:pt>
                <c:pt idx="3">
                  <c:v>104</c:v>
                </c:pt>
                <c:pt idx="4">
                  <c:v>104</c:v>
                </c:pt>
                <c:pt idx="5">
                  <c:v>104</c:v>
                </c:pt>
              </c:numCache>
            </c:numRef>
          </c:yVal>
          <c:smooth val="0"/>
          <c:extLst>
            <c:ext xmlns:c16="http://schemas.microsoft.com/office/drawing/2014/chart" uri="{C3380CC4-5D6E-409C-BE32-E72D297353CC}">
              <c16:uniqueId val="{00000006-69D1-3848-89C0-C3193B59F9D5}"/>
            </c:ext>
          </c:extLst>
        </c:ser>
        <c:ser>
          <c:idx val="3"/>
          <c:order val="3"/>
          <c:tx>
            <c:strRef>
              <c:f>'Cost Curves L-PSH'!$AI$204</c:f>
              <c:strCache>
                <c:ptCount val="1"/>
                <c:pt idx="0">
                  <c:v>2100 MW</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ly"/>
            <c:order val="2"/>
            <c:dispRSqr val="0"/>
            <c:dispEq val="1"/>
            <c:trendlineLbl>
              <c:layout>
                <c:manualLayout>
                  <c:x val="-0.10889951212117177"/>
                  <c:y val="0.2331096803842062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L-PSH'!$AE$205:$AE$210</c:f>
              <c:numCache>
                <c:formatCode>General</c:formatCode>
                <c:ptCount val="6"/>
                <c:pt idx="0">
                  <c:v>350</c:v>
                </c:pt>
                <c:pt idx="1">
                  <c:v>500</c:v>
                </c:pt>
                <c:pt idx="2">
                  <c:v>1000</c:v>
                </c:pt>
                <c:pt idx="3">
                  <c:v>1500</c:v>
                </c:pt>
                <c:pt idx="4">
                  <c:v>2000</c:v>
                </c:pt>
                <c:pt idx="5">
                  <c:v>2250</c:v>
                </c:pt>
              </c:numCache>
            </c:numRef>
          </c:xVal>
          <c:yVal>
            <c:numRef>
              <c:f>'Cost Curves L-PSH'!$AI$205:$AI$210</c:f>
              <c:numCache>
                <c:formatCode>General</c:formatCode>
                <c:ptCount val="6"/>
                <c:pt idx="0">
                  <c:v>120</c:v>
                </c:pt>
                <c:pt idx="1">
                  <c:v>114</c:v>
                </c:pt>
                <c:pt idx="2">
                  <c:v>101</c:v>
                </c:pt>
                <c:pt idx="3">
                  <c:v>100</c:v>
                </c:pt>
                <c:pt idx="4">
                  <c:v>100.5</c:v>
                </c:pt>
                <c:pt idx="5">
                  <c:v>101</c:v>
                </c:pt>
              </c:numCache>
            </c:numRef>
          </c:yVal>
          <c:smooth val="0"/>
          <c:extLst>
            <c:ext xmlns:c16="http://schemas.microsoft.com/office/drawing/2014/chart" uri="{C3380CC4-5D6E-409C-BE32-E72D297353CC}">
              <c16:uniqueId val="{00000008-69D1-3848-89C0-C3193B59F9D5}"/>
            </c:ext>
          </c:extLst>
        </c:ser>
        <c:dLbls>
          <c:showLegendKey val="0"/>
          <c:showVal val="0"/>
          <c:showCatName val="0"/>
          <c:showSerName val="0"/>
          <c:showPercent val="0"/>
          <c:showBubbleSize val="0"/>
        </c:dLbls>
        <c:axId val="1903411135"/>
        <c:axId val="1976356815"/>
      </c:scatterChart>
      <c:valAx>
        <c:axId val="19034111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356815"/>
        <c:crosses val="autoZero"/>
        <c:crossBetween val="midCat"/>
      </c:valAx>
      <c:valAx>
        <c:axId val="1976356815"/>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34111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Access Tunnel Costs $/LF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L-PSH'!$B$240</c:f>
              <c:strCache>
                <c:ptCount val="1"/>
                <c:pt idx="0">
                  <c:v>$/LF</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L-PSH'!$A$241:$A$245</c:f>
              <c:numCache>
                <c:formatCode>General</c:formatCode>
                <c:ptCount val="5"/>
                <c:pt idx="0">
                  <c:v>0.25</c:v>
                </c:pt>
                <c:pt idx="1">
                  <c:v>0.5</c:v>
                </c:pt>
                <c:pt idx="2">
                  <c:v>1</c:v>
                </c:pt>
                <c:pt idx="3">
                  <c:v>1.5</c:v>
                </c:pt>
                <c:pt idx="4">
                  <c:v>2</c:v>
                </c:pt>
              </c:numCache>
            </c:numRef>
          </c:xVal>
          <c:yVal>
            <c:numRef>
              <c:f>'Cost Curves L-PSH'!$B$241:$B$245</c:f>
              <c:numCache>
                <c:formatCode>General</c:formatCode>
                <c:ptCount val="5"/>
                <c:pt idx="0">
                  <c:v>2090</c:v>
                </c:pt>
                <c:pt idx="1">
                  <c:v>2330</c:v>
                </c:pt>
                <c:pt idx="2">
                  <c:v>2500</c:v>
                </c:pt>
                <c:pt idx="3">
                  <c:v>2600</c:v>
                </c:pt>
                <c:pt idx="4">
                  <c:v>2690</c:v>
                </c:pt>
              </c:numCache>
            </c:numRef>
          </c:yVal>
          <c:smooth val="0"/>
          <c:extLst>
            <c:ext xmlns:c16="http://schemas.microsoft.com/office/drawing/2014/chart" uri="{C3380CC4-5D6E-409C-BE32-E72D297353CC}">
              <c16:uniqueId val="{00000001-BF96-7A46-923D-D1B3BCA5C49B}"/>
            </c:ext>
          </c:extLst>
        </c:ser>
        <c:dLbls>
          <c:showLegendKey val="0"/>
          <c:showVal val="0"/>
          <c:showCatName val="0"/>
          <c:showSerName val="0"/>
          <c:showPercent val="0"/>
          <c:showBubbleSize val="0"/>
        </c:dLbls>
        <c:axId val="1490963615"/>
        <c:axId val="1490965263"/>
      </c:scatterChart>
      <c:valAx>
        <c:axId val="149096361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Tunnel Length in miles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965263"/>
        <c:crosses val="autoZero"/>
        <c:crossBetween val="midCat"/>
      </c:valAx>
      <c:valAx>
        <c:axId val="14909652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96361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Switchyard Costs $M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L-PSH'!$L$240</c:f>
              <c:strCache>
                <c:ptCount val="1"/>
                <c:pt idx="0">
                  <c:v>115 to 161 kV</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0.33613573454364792"/>
                  <c:y val="-0.4337864807129119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L-PSH'!$K$241:$K$245</c:f>
              <c:numCache>
                <c:formatCode>General</c:formatCode>
                <c:ptCount val="5"/>
                <c:pt idx="0">
                  <c:v>2</c:v>
                </c:pt>
                <c:pt idx="1">
                  <c:v>3</c:v>
                </c:pt>
                <c:pt idx="2">
                  <c:v>4</c:v>
                </c:pt>
                <c:pt idx="3">
                  <c:v>5</c:v>
                </c:pt>
                <c:pt idx="4">
                  <c:v>6</c:v>
                </c:pt>
              </c:numCache>
            </c:numRef>
          </c:xVal>
          <c:yVal>
            <c:numRef>
              <c:f>'Cost Curves L-PSH'!$L$241:$L$245</c:f>
              <c:numCache>
                <c:formatCode>General</c:formatCode>
                <c:ptCount val="5"/>
                <c:pt idx="0">
                  <c:v>1.4</c:v>
                </c:pt>
                <c:pt idx="1">
                  <c:v>2.2000000000000002</c:v>
                </c:pt>
                <c:pt idx="2">
                  <c:v>2.75</c:v>
                </c:pt>
                <c:pt idx="3">
                  <c:v>3.3</c:v>
                </c:pt>
                <c:pt idx="4">
                  <c:v>3.65</c:v>
                </c:pt>
              </c:numCache>
            </c:numRef>
          </c:yVal>
          <c:smooth val="0"/>
          <c:extLst>
            <c:ext xmlns:c16="http://schemas.microsoft.com/office/drawing/2014/chart" uri="{C3380CC4-5D6E-409C-BE32-E72D297353CC}">
              <c16:uniqueId val="{00000001-E974-B742-8A41-55B88E7063EE}"/>
            </c:ext>
          </c:extLst>
        </c:ser>
        <c:ser>
          <c:idx val="1"/>
          <c:order val="1"/>
          <c:tx>
            <c:strRef>
              <c:f>'Cost Curves L-PSH'!$M$240</c:f>
              <c:strCache>
                <c:ptCount val="1"/>
                <c:pt idx="0">
                  <c:v>230 kV</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0.41668652997157324"/>
                  <c:y val="-0.348782841804340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L-PSH'!$K$241:$K$245</c:f>
              <c:numCache>
                <c:formatCode>General</c:formatCode>
                <c:ptCount val="5"/>
                <c:pt idx="0">
                  <c:v>2</c:v>
                </c:pt>
                <c:pt idx="1">
                  <c:v>3</c:v>
                </c:pt>
                <c:pt idx="2">
                  <c:v>4</c:v>
                </c:pt>
                <c:pt idx="3">
                  <c:v>5</c:v>
                </c:pt>
                <c:pt idx="4">
                  <c:v>6</c:v>
                </c:pt>
              </c:numCache>
            </c:numRef>
          </c:xVal>
          <c:yVal>
            <c:numRef>
              <c:f>'Cost Curves L-PSH'!$M$241:$M$245</c:f>
              <c:numCache>
                <c:formatCode>General</c:formatCode>
                <c:ptCount val="5"/>
                <c:pt idx="0">
                  <c:v>1.7</c:v>
                </c:pt>
                <c:pt idx="1">
                  <c:v>2.8</c:v>
                </c:pt>
                <c:pt idx="2">
                  <c:v>3.7</c:v>
                </c:pt>
                <c:pt idx="3">
                  <c:v>4.4000000000000004</c:v>
                </c:pt>
                <c:pt idx="4">
                  <c:v>4.9000000000000004</c:v>
                </c:pt>
              </c:numCache>
            </c:numRef>
          </c:yVal>
          <c:smooth val="0"/>
          <c:extLst>
            <c:ext xmlns:c16="http://schemas.microsoft.com/office/drawing/2014/chart" uri="{C3380CC4-5D6E-409C-BE32-E72D297353CC}">
              <c16:uniqueId val="{00000003-E974-B742-8A41-55B88E7063EE}"/>
            </c:ext>
          </c:extLst>
        </c:ser>
        <c:ser>
          <c:idx val="2"/>
          <c:order val="2"/>
          <c:tx>
            <c:strRef>
              <c:f>'Cost Curves L-PSH'!$N$240</c:f>
              <c:strCache>
                <c:ptCount val="1"/>
                <c:pt idx="0">
                  <c:v>345 kV</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0"/>
            <c:dispEq val="1"/>
            <c:trendlineLbl>
              <c:layout>
                <c:manualLayout>
                  <c:x val="-0.34395114160327844"/>
                  <c:y val="-0.180696898986690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L-PSH'!$K$241:$K$245</c:f>
              <c:numCache>
                <c:formatCode>General</c:formatCode>
                <c:ptCount val="5"/>
                <c:pt idx="0">
                  <c:v>2</c:v>
                </c:pt>
                <c:pt idx="1">
                  <c:v>3</c:v>
                </c:pt>
                <c:pt idx="2">
                  <c:v>4</c:v>
                </c:pt>
                <c:pt idx="3">
                  <c:v>5</c:v>
                </c:pt>
                <c:pt idx="4">
                  <c:v>6</c:v>
                </c:pt>
              </c:numCache>
            </c:numRef>
          </c:xVal>
          <c:yVal>
            <c:numRef>
              <c:f>'Cost Curves L-PSH'!$N$241:$N$245</c:f>
              <c:numCache>
                <c:formatCode>General</c:formatCode>
                <c:ptCount val="5"/>
                <c:pt idx="0">
                  <c:v>3.55</c:v>
                </c:pt>
                <c:pt idx="1">
                  <c:v>6.15</c:v>
                </c:pt>
                <c:pt idx="2">
                  <c:v>7.9</c:v>
                </c:pt>
                <c:pt idx="3">
                  <c:v>9.4</c:v>
                </c:pt>
                <c:pt idx="4">
                  <c:v>11</c:v>
                </c:pt>
              </c:numCache>
            </c:numRef>
          </c:yVal>
          <c:smooth val="0"/>
          <c:extLst>
            <c:ext xmlns:c16="http://schemas.microsoft.com/office/drawing/2014/chart" uri="{C3380CC4-5D6E-409C-BE32-E72D297353CC}">
              <c16:uniqueId val="{00000005-E974-B742-8A41-55B88E7063EE}"/>
            </c:ext>
          </c:extLst>
        </c:ser>
        <c:ser>
          <c:idx val="3"/>
          <c:order val="3"/>
          <c:tx>
            <c:strRef>
              <c:f>'Cost Curves L-PSH'!$O$240</c:f>
              <c:strCache>
                <c:ptCount val="1"/>
                <c:pt idx="0">
                  <c:v>500 kV</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ly"/>
            <c:order val="2"/>
            <c:dispRSqr val="0"/>
            <c:dispEq val="1"/>
            <c:trendlineLbl>
              <c:layout>
                <c:manualLayout>
                  <c:x val="-0.34134600591673492"/>
                  <c:y val="-3.568551976180420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L-PSH'!$K$241:$K$245</c:f>
              <c:numCache>
                <c:formatCode>General</c:formatCode>
                <c:ptCount val="5"/>
                <c:pt idx="0">
                  <c:v>2</c:v>
                </c:pt>
                <c:pt idx="1">
                  <c:v>3</c:v>
                </c:pt>
                <c:pt idx="2">
                  <c:v>4</c:v>
                </c:pt>
                <c:pt idx="3">
                  <c:v>5</c:v>
                </c:pt>
                <c:pt idx="4">
                  <c:v>6</c:v>
                </c:pt>
              </c:numCache>
            </c:numRef>
          </c:xVal>
          <c:yVal>
            <c:numRef>
              <c:f>'Cost Curves L-PSH'!$O$241:$O$245</c:f>
              <c:numCache>
                <c:formatCode>General</c:formatCode>
                <c:ptCount val="5"/>
                <c:pt idx="0">
                  <c:v>7.35</c:v>
                </c:pt>
                <c:pt idx="1">
                  <c:v>13.5</c:v>
                </c:pt>
                <c:pt idx="2">
                  <c:v>16.5</c:v>
                </c:pt>
                <c:pt idx="3">
                  <c:v>19</c:v>
                </c:pt>
                <c:pt idx="4">
                  <c:v>21</c:v>
                </c:pt>
              </c:numCache>
            </c:numRef>
          </c:yVal>
          <c:smooth val="0"/>
          <c:extLst>
            <c:ext xmlns:c16="http://schemas.microsoft.com/office/drawing/2014/chart" uri="{C3380CC4-5D6E-409C-BE32-E72D297353CC}">
              <c16:uniqueId val="{00000007-E974-B742-8A41-55B88E7063EE}"/>
            </c:ext>
          </c:extLst>
        </c:ser>
        <c:dLbls>
          <c:showLegendKey val="0"/>
          <c:showVal val="0"/>
          <c:showCatName val="0"/>
          <c:showSerName val="0"/>
          <c:showPercent val="0"/>
          <c:showBubbleSize val="0"/>
        </c:dLbls>
        <c:axId val="1992284047"/>
        <c:axId val="1991589327"/>
      </c:scatterChart>
      <c:valAx>
        <c:axId val="199228404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 of Generator Units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1589327"/>
        <c:crosses val="autoZero"/>
        <c:crossBetween val="midCat"/>
      </c:valAx>
      <c:valAx>
        <c:axId val="19915893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MM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228404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Transmission Line Costs, $1000s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L-PSH'!$B$275</c:f>
              <c:strCache>
                <c:ptCount val="1"/>
                <c:pt idx="0">
                  <c:v>138 kV</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0.3122799384955573"/>
                  <c:y val="-1.203458510299819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L-PSH'!$A$276:$A$300</c:f>
              <c:numCache>
                <c:formatCode>General</c:formatCode>
                <c:ptCount val="25"/>
                <c:pt idx="0">
                  <c:v>28.5</c:v>
                </c:pt>
                <c:pt idx="1">
                  <c:v>30</c:v>
                </c:pt>
                <c:pt idx="2">
                  <c:v>40</c:v>
                </c:pt>
                <c:pt idx="3">
                  <c:v>50</c:v>
                </c:pt>
                <c:pt idx="4">
                  <c:v>60</c:v>
                </c:pt>
                <c:pt idx="5">
                  <c:v>70</c:v>
                </c:pt>
                <c:pt idx="6">
                  <c:v>80</c:v>
                </c:pt>
                <c:pt idx="7">
                  <c:v>90</c:v>
                </c:pt>
                <c:pt idx="8">
                  <c:v>100</c:v>
                </c:pt>
                <c:pt idx="9">
                  <c:v>125</c:v>
                </c:pt>
                <c:pt idx="10">
                  <c:v>102</c:v>
                </c:pt>
                <c:pt idx="11">
                  <c:v>150</c:v>
                </c:pt>
                <c:pt idx="12">
                  <c:v>200</c:v>
                </c:pt>
                <c:pt idx="13">
                  <c:v>300</c:v>
                </c:pt>
                <c:pt idx="14">
                  <c:v>340</c:v>
                </c:pt>
                <c:pt idx="15">
                  <c:v>350</c:v>
                </c:pt>
                <c:pt idx="16">
                  <c:v>400</c:v>
                </c:pt>
                <c:pt idx="17">
                  <c:v>500</c:v>
                </c:pt>
                <c:pt idx="18">
                  <c:v>600</c:v>
                </c:pt>
                <c:pt idx="19">
                  <c:v>700</c:v>
                </c:pt>
                <c:pt idx="20">
                  <c:v>800</c:v>
                </c:pt>
                <c:pt idx="21">
                  <c:v>900</c:v>
                </c:pt>
                <c:pt idx="22">
                  <c:v>1000</c:v>
                </c:pt>
                <c:pt idx="23">
                  <c:v>2000</c:v>
                </c:pt>
                <c:pt idx="24">
                  <c:v>3000</c:v>
                </c:pt>
              </c:numCache>
            </c:numRef>
          </c:xVal>
          <c:yVal>
            <c:numRef>
              <c:f>'Cost Curves L-PSH'!$B$276:$B$300</c:f>
              <c:numCache>
                <c:formatCode>General</c:formatCode>
                <c:ptCount val="25"/>
                <c:pt idx="0">
                  <c:v>110</c:v>
                </c:pt>
                <c:pt idx="1">
                  <c:v>112</c:v>
                </c:pt>
                <c:pt idx="2">
                  <c:v>115</c:v>
                </c:pt>
                <c:pt idx="3">
                  <c:v>120</c:v>
                </c:pt>
                <c:pt idx="4">
                  <c:v>122</c:v>
                </c:pt>
                <c:pt idx="5">
                  <c:v>128</c:v>
                </c:pt>
                <c:pt idx="6">
                  <c:v>132</c:v>
                </c:pt>
                <c:pt idx="7">
                  <c:v>140</c:v>
                </c:pt>
                <c:pt idx="8">
                  <c:v>150</c:v>
                </c:pt>
                <c:pt idx="9">
                  <c:v>172</c:v>
                </c:pt>
              </c:numCache>
            </c:numRef>
          </c:yVal>
          <c:smooth val="0"/>
          <c:extLst>
            <c:ext xmlns:c16="http://schemas.microsoft.com/office/drawing/2014/chart" uri="{C3380CC4-5D6E-409C-BE32-E72D297353CC}">
              <c16:uniqueId val="{00000001-FD0E-2643-B8E8-3FC6B236502A}"/>
            </c:ext>
          </c:extLst>
        </c:ser>
        <c:ser>
          <c:idx val="1"/>
          <c:order val="1"/>
          <c:tx>
            <c:strRef>
              <c:f>'Cost Curves L-PSH'!$C$275</c:f>
              <c:strCache>
                <c:ptCount val="1"/>
                <c:pt idx="0">
                  <c:v>230 kV</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0.30363766206657677"/>
                  <c:y val="-8.556892432986994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L-PSH'!$A$276:$A$300</c:f>
              <c:numCache>
                <c:formatCode>General</c:formatCode>
                <c:ptCount val="25"/>
                <c:pt idx="0">
                  <c:v>28.5</c:v>
                </c:pt>
                <c:pt idx="1">
                  <c:v>30</c:v>
                </c:pt>
                <c:pt idx="2">
                  <c:v>40</c:v>
                </c:pt>
                <c:pt idx="3">
                  <c:v>50</c:v>
                </c:pt>
                <c:pt idx="4">
                  <c:v>60</c:v>
                </c:pt>
                <c:pt idx="5">
                  <c:v>70</c:v>
                </c:pt>
                <c:pt idx="6">
                  <c:v>80</c:v>
                </c:pt>
                <c:pt idx="7">
                  <c:v>90</c:v>
                </c:pt>
                <c:pt idx="8">
                  <c:v>100</c:v>
                </c:pt>
                <c:pt idx="9">
                  <c:v>125</c:v>
                </c:pt>
                <c:pt idx="10">
                  <c:v>102</c:v>
                </c:pt>
                <c:pt idx="11">
                  <c:v>150</c:v>
                </c:pt>
                <c:pt idx="12">
                  <c:v>200</c:v>
                </c:pt>
                <c:pt idx="13">
                  <c:v>300</c:v>
                </c:pt>
                <c:pt idx="14">
                  <c:v>340</c:v>
                </c:pt>
                <c:pt idx="15">
                  <c:v>350</c:v>
                </c:pt>
                <c:pt idx="16">
                  <c:v>400</c:v>
                </c:pt>
                <c:pt idx="17">
                  <c:v>500</c:v>
                </c:pt>
                <c:pt idx="18">
                  <c:v>600</c:v>
                </c:pt>
                <c:pt idx="19">
                  <c:v>700</c:v>
                </c:pt>
                <c:pt idx="20">
                  <c:v>800</c:v>
                </c:pt>
                <c:pt idx="21">
                  <c:v>900</c:v>
                </c:pt>
                <c:pt idx="22">
                  <c:v>1000</c:v>
                </c:pt>
                <c:pt idx="23">
                  <c:v>2000</c:v>
                </c:pt>
                <c:pt idx="24">
                  <c:v>3000</c:v>
                </c:pt>
              </c:numCache>
            </c:numRef>
          </c:xVal>
          <c:yVal>
            <c:numRef>
              <c:f>'Cost Curves L-PSH'!$C$276:$C$300</c:f>
              <c:numCache>
                <c:formatCode>General</c:formatCode>
                <c:ptCount val="25"/>
                <c:pt idx="10">
                  <c:v>175</c:v>
                </c:pt>
                <c:pt idx="11">
                  <c:v>180</c:v>
                </c:pt>
                <c:pt idx="12">
                  <c:v>190</c:v>
                </c:pt>
                <c:pt idx="13">
                  <c:v>230</c:v>
                </c:pt>
                <c:pt idx="14">
                  <c:v>240</c:v>
                </c:pt>
              </c:numCache>
            </c:numRef>
          </c:yVal>
          <c:smooth val="0"/>
          <c:extLst>
            <c:ext xmlns:c16="http://schemas.microsoft.com/office/drawing/2014/chart" uri="{C3380CC4-5D6E-409C-BE32-E72D297353CC}">
              <c16:uniqueId val="{00000003-FD0E-2643-B8E8-3FC6B236502A}"/>
            </c:ext>
          </c:extLst>
        </c:ser>
        <c:ser>
          <c:idx val="2"/>
          <c:order val="2"/>
          <c:tx>
            <c:strRef>
              <c:f>'Cost Curves L-PSH'!$D$275</c:f>
              <c:strCache>
                <c:ptCount val="1"/>
                <c:pt idx="0">
                  <c:v>345 kV</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0"/>
            <c:dispEq val="1"/>
            <c:trendlineLbl>
              <c:layout>
                <c:manualLayout>
                  <c:x val="-0.30849287354353211"/>
                  <c:y val="-0.118855809061106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L-PSH'!$A$276:$A$300</c:f>
              <c:numCache>
                <c:formatCode>General</c:formatCode>
                <c:ptCount val="25"/>
                <c:pt idx="0">
                  <c:v>28.5</c:v>
                </c:pt>
                <c:pt idx="1">
                  <c:v>30</c:v>
                </c:pt>
                <c:pt idx="2">
                  <c:v>40</c:v>
                </c:pt>
                <c:pt idx="3">
                  <c:v>50</c:v>
                </c:pt>
                <c:pt idx="4">
                  <c:v>60</c:v>
                </c:pt>
                <c:pt idx="5">
                  <c:v>70</c:v>
                </c:pt>
                <c:pt idx="6">
                  <c:v>80</c:v>
                </c:pt>
                <c:pt idx="7">
                  <c:v>90</c:v>
                </c:pt>
                <c:pt idx="8">
                  <c:v>100</c:v>
                </c:pt>
                <c:pt idx="9">
                  <c:v>125</c:v>
                </c:pt>
                <c:pt idx="10">
                  <c:v>102</c:v>
                </c:pt>
                <c:pt idx="11">
                  <c:v>150</c:v>
                </c:pt>
                <c:pt idx="12">
                  <c:v>200</c:v>
                </c:pt>
                <c:pt idx="13">
                  <c:v>300</c:v>
                </c:pt>
                <c:pt idx="14">
                  <c:v>340</c:v>
                </c:pt>
                <c:pt idx="15">
                  <c:v>350</c:v>
                </c:pt>
                <c:pt idx="16">
                  <c:v>400</c:v>
                </c:pt>
                <c:pt idx="17">
                  <c:v>500</c:v>
                </c:pt>
                <c:pt idx="18">
                  <c:v>600</c:v>
                </c:pt>
                <c:pt idx="19">
                  <c:v>700</c:v>
                </c:pt>
                <c:pt idx="20">
                  <c:v>800</c:v>
                </c:pt>
                <c:pt idx="21">
                  <c:v>900</c:v>
                </c:pt>
                <c:pt idx="22">
                  <c:v>1000</c:v>
                </c:pt>
                <c:pt idx="23">
                  <c:v>2000</c:v>
                </c:pt>
                <c:pt idx="24">
                  <c:v>3000</c:v>
                </c:pt>
              </c:numCache>
            </c:numRef>
          </c:xVal>
          <c:yVal>
            <c:numRef>
              <c:f>'Cost Curves L-PSH'!$D$276:$D$300</c:f>
              <c:numCache>
                <c:formatCode>General</c:formatCode>
                <c:ptCount val="25"/>
                <c:pt idx="15">
                  <c:v>275</c:v>
                </c:pt>
                <c:pt idx="16">
                  <c:v>280</c:v>
                </c:pt>
                <c:pt idx="17">
                  <c:v>285</c:v>
                </c:pt>
                <c:pt idx="18">
                  <c:v>290</c:v>
                </c:pt>
                <c:pt idx="19">
                  <c:v>295</c:v>
                </c:pt>
                <c:pt idx="20">
                  <c:v>305</c:v>
                </c:pt>
                <c:pt idx="21">
                  <c:v>325</c:v>
                </c:pt>
                <c:pt idx="22">
                  <c:v>370</c:v>
                </c:pt>
              </c:numCache>
            </c:numRef>
          </c:yVal>
          <c:smooth val="0"/>
          <c:extLst>
            <c:ext xmlns:c16="http://schemas.microsoft.com/office/drawing/2014/chart" uri="{C3380CC4-5D6E-409C-BE32-E72D297353CC}">
              <c16:uniqueId val="{00000005-FD0E-2643-B8E8-3FC6B236502A}"/>
            </c:ext>
          </c:extLst>
        </c:ser>
        <c:ser>
          <c:idx val="3"/>
          <c:order val="3"/>
          <c:tx>
            <c:strRef>
              <c:f>'Cost Curves L-PSH'!$E$275</c:f>
              <c:strCache>
                <c:ptCount val="1"/>
                <c:pt idx="0">
                  <c:v>500 kV</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ly"/>
            <c:order val="2"/>
            <c:dispRSqr val="0"/>
            <c:dispEq val="1"/>
            <c:trendlineLbl>
              <c:layout>
                <c:manualLayout>
                  <c:x val="-0.32500059256518027"/>
                  <c:y val="-0.1626215675510334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L-PSH'!$A$276:$A$300</c:f>
              <c:numCache>
                <c:formatCode>General</c:formatCode>
                <c:ptCount val="25"/>
                <c:pt idx="0">
                  <c:v>28.5</c:v>
                </c:pt>
                <c:pt idx="1">
                  <c:v>30</c:v>
                </c:pt>
                <c:pt idx="2">
                  <c:v>40</c:v>
                </c:pt>
                <c:pt idx="3">
                  <c:v>50</c:v>
                </c:pt>
                <c:pt idx="4">
                  <c:v>60</c:v>
                </c:pt>
                <c:pt idx="5">
                  <c:v>70</c:v>
                </c:pt>
                <c:pt idx="6">
                  <c:v>80</c:v>
                </c:pt>
                <c:pt idx="7">
                  <c:v>90</c:v>
                </c:pt>
                <c:pt idx="8">
                  <c:v>100</c:v>
                </c:pt>
                <c:pt idx="9">
                  <c:v>125</c:v>
                </c:pt>
                <c:pt idx="10">
                  <c:v>102</c:v>
                </c:pt>
                <c:pt idx="11">
                  <c:v>150</c:v>
                </c:pt>
                <c:pt idx="12">
                  <c:v>200</c:v>
                </c:pt>
                <c:pt idx="13">
                  <c:v>300</c:v>
                </c:pt>
                <c:pt idx="14">
                  <c:v>340</c:v>
                </c:pt>
                <c:pt idx="15">
                  <c:v>350</c:v>
                </c:pt>
                <c:pt idx="16">
                  <c:v>400</c:v>
                </c:pt>
                <c:pt idx="17">
                  <c:v>500</c:v>
                </c:pt>
                <c:pt idx="18">
                  <c:v>600</c:v>
                </c:pt>
                <c:pt idx="19">
                  <c:v>700</c:v>
                </c:pt>
                <c:pt idx="20">
                  <c:v>800</c:v>
                </c:pt>
                <c:pt idx="21">
                  <c:v>900</c:v>
                </c:pt>
                <c:pt idx="22">
                  <c:v>1000</c:v>
                </c:pt>
                <c:pt idx="23">
                  <c:v>2000</c:v>
                </c:pt>
                <c:pt idx="24">
                  <c:v>3000</c:v>
                </c:pt>
              </c:numCache>
            </c:numRef>
          </c:xVal>
          <c:yVal>
            <c:numRef>
              <c:f>'Cost Curves L-PSH'!$E$276:$E$300</c:f>
              <c:numCache>
                <c:formatCode>General</c:formatCode>
                <c:ptCount val="25"/>
                <c:pt idx="21">
                  <c:v>400</c:v>
                </c:pt>
                <c:pt idx="22">
                  <c:v>402</c:v>
                </c:pt>
                <c:pt idx="23">
                  <c:v>450</c:v>
                </c:pt>
                <c:pt idx="24">
                  <c:v>575</c:v>
                </c:pt>
              </c:numCache>
            </c:numRef>
          </c:yVal>
          <c:smooth val="0"/>
          <c:extLst>
            <c:ext xmlns:c16="http://schemas.microsoft.com/office/drawing/2014/chart" uri="{C3380CC4-5D6E-409C-BE32-E72D297353CC}">
              <c16:uniqueId val="{00000007-FD0E-2643-B8E8-3FC6B236502A}"/>
            </c:ext>
          </c:extLst>
        </c:ser>
        <c:dLbls>
          <c:showLegendKey val="0"/>
          <c:showVal val="0"/>
          <c:showCatName val="0"/>
          <c:showSerName val="0"/>
          <c:showPercent val="0"/>
          <c:showBubbleSize val="0"/>
        </c:dLbls>
        <c:axId val="1915203247"/>
        <c:axId val="1967493135"/>
      </c:scatterChart>
      <c:valAx>
        <c:axId val="191520324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Transmission Capacity in MW</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493135"/>
        <c:crosses val="autoZero"/>
        <c:crossBetween val="midCat"/>
      </c:valAx>
      <c:valAx>
        <c:axId val="196749313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$ 1000s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520324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L-PSH'!$B$362</c:f>
              <c:strCache>
                <c:ptCount val="1"/>
                <c:pt idx="0">
                  <c:v>stand by power k$</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13094641294838144"/>
                  <c:y val="7.7438757655293091E-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L-PSH'!$A$363:$A$369</c:f>
              <c:numCache>
                <c:formatCode>General</c:formatCode>
                <c:ptCount val="7"/>
                <c:pt idx="0">
                  <c:v>400</c:v>
                </c:pt>
                <c:pt idx="1">
                  <c:v>700</c:v>
                </c:pt>
                <c:pt idx="2">
                  <c:v>1000</c:v>
                </c:pt>
                <c:pt idx="3">
                  <c:v>5000</c:v>
                </c:pt>
                <c:pt idx="4">
                  <c:v>10000</c:v>
                </c:pt>
                <c:pt idx="5">
                  <c:v>15000</c:v>
                </c:pt>
                <c:pt idx="6">
                  <c:v>50000</c:v>
                </c:pt>
              </c:numCache>
            </c:numRef>
          </c:xVal>
          <c:yVal>
            <c:numRef>
              <c:f>'Cost Curves L-PSH'!$B$363:$B$369</c:f>
              <c:numCache>
                <c:formatCode>General</c:formatCode>
                <c:ptCount val="7"/>
                <c:pt idx="0">
                  <c:v>65</c:v>
                </c:pt>
                <c:pt idx="1">
                  <c:v>100</c:v>
                </c:pt>
                <c:pt idx="2">
                  <c:v>150</c:v>
                </c:pt>
                <c:pt idx="3">
                  <c:v>400</c:v>
                </c:pt>
                <c:pt idx="4">
                  <c:v>750</c:v>
                </c:pt>
                <c:pt idx="5">
                  <c:v>1000</c:v>
                </c:pt>
                <c:pt idx="6">
                  <c:v>2500</c:v>
                </c:pt>
              </c:numCache>
            </c:numRef>
          </c:yVal>
          <c:smooth val="0"/>
          <c:extLst>
            <c:ext xmlns:c16="http://schemas.microsoft.com/office/drawing/2014/chart" uri="{C3380CC4-5D6E-409C-BE32-E72D297353CC}">
              <c16:uniqueId val="{00000000-DFC2-AD46-8DFE-6986B475406F}"/>
            </c:ext>
          </c:extLst>
        </c:ser>
        <c:dLbls>
          <c:showLegendKey val="0"/>
          <c:showVal val="0"/>
          <c:showCatName val="0"/>
          <c:showSerName val="0"/>
          <c:showPercent val="0"/>
          <c:showBubbleSize val="0"/>
        </c:dLbls>
        <c:axId val="1177607296"/>
        <c:axId val="1643916096"/>
      </c:scatterChart>
      <c:valAx>
        <c:axId val="1177607296"/>
        <c:scaling>
          <c:logBase val="10"/>
          <c:orientation val="minMax"/>
          <c:min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Mean Pump DIscharge in gal/min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3916096"/>
        <c:crosses val="autoZero"/>
        <c:crossBetween val="midCat"/>
      </c:valAx>
      <c:valAx>
        <c:axId val="1643916096"/>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$ 1000s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60729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baseline="0">
                <a:solidFill>
                  <a:sysClr val="windowText" lastClr="000000">
                    <a:lumMod val="65000"/>
                    <a:lumOff val="35000"/>
                  </a:sysClr>
                </a:solidFill>
              </a:rPr>
              <a:t>Unit Cost, $/CY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L-PSH'!$E$86</c:f>
              <c:strCache>
                <c:ptCount val="1"/>
                <c:pt idx="0">
                  <c:v>Unit Cost $/CY</c:v>
                </c:pt>
              </c:strCache>
            </c:strRef>
          </c:tx>
          <c:spPr>
            <a:ln w="19050" cap="rnd">
              <a:noFill/>
              <a:round/>
            </a:ln>
            <a:effectLst/>
          </c:spPr>
          <c:marker>
            <c:symbol val="circle"/>
            <c:size val="5"/>
            <c:spPr>
              <a:solidFill>
                <a:schemeClr val="accent1"/>
              </a:solidFill>
              <a:ln w="9525">
                <a:solidFill>
                  <a:schemeClr val="accent1"/>
                </a:solidFill>
              </a:ln>
              <a:effectLst/>
            </c:spPr>
          </c:marker>
          <c:xVal>
            <c:numRef>
              <c:f>'Cost Curves L-PSH'!$D$87:$D$93</c:f>
              <c:numCache>
                <c:formatCode>General</c:formatCode>
                <c:ptCount val="7"/>
                <c:pt idx="0">
                  <c:v>0.114</c:v>
                </c:pt>
                <c:pt idx="1">
                  <c:v>1</c:v>
                </c:pt>
                <c:pt idx="2">
                  <c:v>2</c:v>
                </c:pt>
                <c:pt idx="3">
                  <c:v>4</c:v>
                </c:pt>
                <c:pt idx="4">
                  <c:v>6</c:v>
                </c:pt>
                <c:pt idx="5">
                  <c:v>8</c:v>
                </c:pt>
                <c:pt idx="6">
                  <c:v>10</c:v>
                </c:pt>
              </c:numCache>
            </c:numRef>
          </c:xVal>
          <c:yVal>
            <c:numRef>
              <c:f>'Cost Curves L-PSH'!$E$87:$E$93</c:f>
              <c:numCache>
                <c:formatCode>General</c:formatCode>
                <c:ptCount val="7"/>
                <c:pt idx="0">
                  <c:v>13.5</c:v>
                </c:pt>
                <c:pt idx="1">
                  <c:v>9</c:v>
                </c:pt>
                <c:pt idx="2">
                  <c:v>8</c:v>
                </c:pt>
                <c:pt idx="3">
                  <c:v>7.8</c:v>
                </c:pt>
                <c:pt idx="4">
                  <c:v>7.7</c:v>
                </c:pt>
                <c:pt idx="5">
                  <c:v>7.6</c:v>
                </c:pt>
                <c:pt idx="6">
                  <c:v>7.5</c:v>
                </c:pt>
              </c:numCache>
            </c:numRef>
          </c:yVal>
          <c:smooth val="0"/>
          <c:extLst>
            <c:ext xmlns:c16="http://schemas.microsoft.com/office/drawing/2014/chart" uri="{C3380CC4-5D6E-409C-BE32-E72D297353CC}">
              <c16:uniqueId val="{00000001-DFE6-4DDB-9E2E-B8870E242590}"/>
            </c:ext>
          </c:extLst>
        </c:ser>
        <c:ser>
          <c:idx val="1"/>
          <c:order val="1"/>
          <c:tx>
            <c:strRef>
              <c:f>'Cost Curves L-PSH'!$H$86</c:f>
              <c:strCache>
                <c:ptCount val="1"/>
                <c:pt idx="0">
                  <c:v>hyperbolic fit</c:v>
                </c:pt>
              </c:strCache>
            </c:strRef>
          </c:tx>
          <c:spPr>
            <a:ln w="15875" cap="rnd">
              <a:solidFill>
                <a:schemeClr val="accent1"/>
              </a:solidFill>
              <a:prstDash val="sysDot"/>
              <a:round/>
            </a:ln>
            <a:effectLst/>
          </c:spPr>
          <c:marker>
            <c:symbol val="none"/>
          </c:marker>
          <c:xVal>
            <c:numRef>
              <c:f>'Cost Curves L-PSH'!$D$87:$D$93</c:f>
              <c:numCache>
                <c:formatCode>General</c:formatCode>
                <c:ptCount val="7"/>
                <c:pt idx="0">
                  <c:v>0.114</c:v>
                </c:pt>
                <c:pt idx="1">
                  <c:v>1</c:v>
                </c:pt>
                <c:pt idx="2">
                  <c:v>2</c:v>
                </c:pt>
                <c:pt idx="3">
                  <c:v>4</c:v>
                </c:pt>
                <c:pt idx="4">
                  <c:v>6</c:v>
                </c:pt>
                <c:pt idx="5">
                  <c:v>8</c:v>
                </c:pt>
                <c:pt idx="6">
                  <c:v>10</c:v>
                </c:pt>
              </c:numCache>
            </c:numRef>
          </c:xVal>
          <c:yVal>
            <c:numRef>
              <c:f>'Cost Curves L-PSH'!$H$87:$H$93</c:f>
              <c:numCache>
                <c:formatCode>General</c:formatCode>
                <c:ptCount val="7"/>
                <c:pt idx="0">
                  <c:v>13.720565586723607</c:v>
                </c:pt>
                <c:pt idx="1">
                  <c:v>8.1565266080742109</c:v>
                </c:pt>
                <c:pt idx="2">
                  <c:v>7.9491405953633016</c:v>
                </c:pt>
                <c:pt idx="3">
                  <c:v>7.8493526569366407</c:v>
                </c:pt>
                <c:pt idx="4">
                  <c:v>7.8166444321108628</c:v>
                </c:pt>
                <c:pt idx="5">
                  <c:v>7.8003923284559873</c:v>
                </c:pt>
                <c:pt idx="6">
                  <c:v>7.7906734650387177</c:v>
                </c:pt>
              </c:numCache>
            </c:numRef>
          </c:yVal>
          <c:smooth val="0"/>
          <c:extLst>
            <c:ext xmlns:c16="http://schemas.microsoft.com/office/drawing/2014/chart" uri="{C3380CC4-5D6E-409C-BE32-E72D297353CC}">
              <c16:uniqueId val="{00000003-DFE6-4DDB-9E2E-B8870E242590}"/>
            </c:ext>
          </c:extLst>
        </c:ser>
        <c:dLbls>
          <c:showLegendKey val="0"/>
          <c:showVal val="0"/>
          <c:showCatName val="0"/>
          <c:showSerName val="0"/>
          <c:showPercent val="0"/>
          <c:showBubbleSize val="0"/>
        </c:dLbls>
        <c:axId val="1916112255"/>
        <c:axId val="1916460879"/>
      </c:scatterChart>
      <c:valAx>
        <c:axId val="191611225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Dam Volume, CY x 10^6</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6460879"/>
        <c:crosses val="autoZero"/>
        <c:crossBetween val="midCat"/>
      </c:valAx>
      <c:valAx>
        <c:axId val="1916460879"/>
        <c:scaling>
          <c:orientation val="minMax"/>
          <c:max val="15"/>
          <c:min val="6"/>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Unit Cost $/CY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611225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Penstock Velocity (Fps)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L-PSH'!$V$122</c:f>
              <c:strCache>
                <c:ptCount val="1"/>
                <c:pt idx="0">
                  <c:v>Velocity (Fps)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6.2340332458442694E-3"/>
                  <c:y val="0.1523611111111111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L-PSH'!$U$123:$U$127</c:f>
              <c:numCache>
                <c:formatCode>General</c:formatCode>
                <c:ptCount val="5"/>
                <c:pt idx="0">
                  <c:v>300</c:v>
                </c:pt>
                <c:pt idx="1">
                  <c:v>500</c:v>
                </c:pt>
                <c:pt idx="2">
                  <c:v>1000</c:v>
                </c:pt>
                <c:pt idx="3">
                  <c:v>1500</c:v>
                </c:pt>
                <c:pt idx="4">
                  <c:v>2200</c:v>
                </c:pt>
              </c:numCache>
            </c:numRef>
          </c:xVal>
          <c:yVal>
            <c:numRef>
              <c:f>'Cost Curves L-PSH'!$V$123:$V$127</c:f>
              <c:numCache>
                <c:formatCode>General</c:formatCode>
                <c:ptCount val="5"/>
                <c:pt idx="0">
                  <c:v>18</c:v>
                </c:pt>
                <c:pt idx="1">
                  <c:v>20</c:v>
                </c:pt>
                <c:pt idx="2">
                  <c:v>25</c:v>
                </c:pt>
                <c:pt idx="3">
                  <c:v>28</c:v>
                </c:pt>
                <c:pt idx="4">
                  <c:v>32</c:v>
                </c:pt>
              </c:numCache>
            </c:numRef>
          </c:yVal>
          <c:smooth val="0"/>
          <c:extLst>
            <c:ext xmlns:c16="http://schemas.microsoft.com/office/drawing/2014/chart" uri="{C3380CC4-5D6E-409C-BE32-E72D297353CC}">
              <c16:uniqueId val="{00000000-D01B-EF4D-A067-0A0649A57029}"/>
            </c:ext>
          </c:extLst>
        </c:ser>
        <c:dLbls>
          <c:showLegendKey val="0"/>
          <c:showVal val="0"/>
          <c:showCatName val="0"/>
          <c:showSerName val="0"/>
          <c:showPercent val="0"/>
          <c:showBubbleSize val="0"/>
        </c:dLbls>
        <c:axId val="519608111"/>
        <c:axId val="519609839"/>
      </c:scatterChart>
      <c:valAx>
        <c:axId val="51960811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609839"/>
        <c:crosses val="autoZero"/>
        <c:crossBetween val="midCat"/>
      </c:valAx>
      <c:valAx>
        <c:axId val="519609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60811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Draft Tube Velocity (Fps)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L-PSH'!$Z$122</c:f>
              <c:strCache>
                <c:ptCount val="1"/>
                <c:pt idx="0">
                  <c:v>Velocity (Fps)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6.2685914260717413E-4"/>
                  <c:y val="0.14773148148148152"/>
                </c:manualLayout>
              </c:layout>
              <c:numFmt formatCode="#,##0.00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L-PSH'!$Y$123:$Y$127</c:f>
              <c:numCache>
                <c:formatCode>General</c:formatCode>
                <c:ptCount val="5"/>
                <c:pt idx="0">
                  <c:v>300</c:v>
                </c:pt>
                <c:pt idx="1">
                  <c:v>500</c:v>
                </c:pt>
                <c:pt idx="2">
                  <c:v>1000</c:v>
                </c:pt>
                <c:pt idx="3">
                  <c:v>1500</c:v>
                </c:pt>
                <c:pt idx="4">
                  <c:v>2200</c:v>
                </c:pt>
              </c:numCache>
            </c:numRef>
          </c:xVal>
          <c:yVal>
            <c:numRef>
              <c:f>'Cost Curves L-PSH'!$Z$123:$Z$127</c:f>
              <c:numCache>
                <c:formatCode>General</c:formatCode>
                <c:ptCount val="5"/>
                <c:pt idx="0">
                  <c:v>8</c:v>
                </c:pt>
                <c:pt idx="1">
                  <c:v>10</c:v>
                </c:pt>
                <c:pt idx="2">
                  <c:v>13</c:v>
                </c:pt>
                <c:pt idx="3">
                  <c:v>15</c:v>
                </c:pt>
                <c:pt idx="4">
                  <c:v>17</c:v>
                </c:pt>
              </c:numCache>
            </c:numRef>
          </c:yVal>
          <c:smooth val="0"/>
          <c:extLst>
            <c:ext xmlns:c16="http://schemas.microsoft.com/office/drawing/2014/chart" uri="{C3380CC4-5D6E-409C-BE32-E72D297353CC}">
              <c16:uniqueId val="{00000000-360D-E54E-BB8C-30E3B8639366}"/>
            </c:ext>
          </c:extLst>
        </c:ser>
        <c:dLbls>
          <c:showLegendKey val="0"/>
          <c:showVal val="0"/>
          <c:showCatName val="0"/>
          <c:showSerName val="0"/>
          <c:showPercent val="0"/>
          <c:showBubbleSize val="0"/>
        </c:dLbls>
        <c:axId val="531582511"/>
        <c:axId val="1036989759"/>
      </c:scatterChart>
      <c:valAx>
        <c:axId val="53158251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6989759"/>
        <c:crosses val="autoZero"/>
        <c:crossBetween val="midCat"/>
      </c:valAx>
      <c:valAx>
        <c:axId val="1036989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58251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Underground Powestation Structure Cost $/kW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S-PSH'!$B$2:$B$3</c:f>
              <c:strCache>
                <c:ptCount val="2"/>
                <c:pt idx="0">
                  <c:v>$/kW Average Conditions</c:v>
                </c:pt>
                <c:pt idx="1">
                  <c:v>160 MW</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olid"/>
              </a:ln>
              <a:effectLst/>
            </c:spPr>
            <c:trendlineType val="power"/>
            <c:dispRSqr val="0"/>
            <c:dispEq val="0"/>
          </c:trendline>
          <c:xVal>
            <c:numRef>
              <c:f>'Cost Curves S-PSH'!$A$4:$A$9</c:f>
              <c:numCache>
                <c:formatCode>General</c:formatCode>
                <c:ptCount val="6"/>
                <c:pt idx="0">
                  <c:v>350</c:v>
                </c:pt>
                <c:pt idx="1">
                  <c:v>500</c:v>
                </c:pt>
                <c:pt idx="2">
                  <c:v>1000</c:v>
                </c:pt>
                <c:pt idx="3">
                  <c:v>1500</c:v>
                </c:pt>
                <c:pt idx="4">
                  <c:v>2000</c:v>
                </c:pt>
                <c:pt idx="5">
                  <c:v>2250</c:v>
                </c:pt>
              </c:numCache>
            </c:numRef>
          </c:xVal>
          <c:yVal>
            <c:numRef>
              <c:f>'Cost Curves S-PSH'!$B$4:$B$9</c:f>
              <c:numCache>
                <c:formatCode>General</c:formatCode>
                <c:ptCount val="6"/>
                <c:pt idx="0">
                  <c:v>135</c:v>
                </c:pt>
                <c:pt idx="1">
                  <c:v>113</c:v>
                </c:pt>
                <c:pt idx="2">
                  <c:v>91</c:v>
                </c:pt>
                <c:pt idx="3">
                  <c:v>81</c:v>
                </c:pt>
                <c:pt idx="4">
                  <c:v>78</c:v>
                </c:pt>
                <c:pt idx="5">
                  <c:v>77</c:v>
                </c:pt>
              </c:numCache>
            </c:numRef>
          </c:yVal>
          <c:smooth val="0"/>
          <c:extLst>
            <c:ext xmlns:c16="http://schemas.microsoft.com/office/drawing/2014/chart" uri="{C3380CC4-5D6E-409C-BE32-E72D297353CC}">
              <c16:uniqueId val="{00000001-0C88-9F43-AB51-01E22886E169}"/>
            </c:ext>
          </c:extLst>
        </c:ser>
        <c:ser>
          <c:idx val="1"/>
          <c:order val="1"/>
          <c:tx>
            <c:strRef>
              <c:f>'Cost Curves S-PSH'!$C$2:$C$3</c:f>
              <c:strCache>
                <c:ptCount val="2"/>
                <c:pt idx="0">
                  <c:v>$/kW Average Conditions</c:v>
                </c:pt>
                <c:pt idx="1">
                  <c:v>240 MW</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olid"/>
              </a:ln>
              <a:effectLst/>
            </c:spPr>
            <c:trendlineType val="power"/>
            <c:dispRSqr val="0"/>
            <c:dispEq val="0"/>
          </c:trendline>
          <c:xVal>
            <c:numRef>
              <c:f>'Cost Curves S-PSH'!$A$4:$A$9</c:f>
              <c:numCache>
                <c:formatCode>General</c:formatCode>
                <c:ptCount val="6"/>
                <c:pt idx="0">
                  <c:v>350</c:v>
                </c:pt>
                <c:pt idx="1">
                  <c:v>500</c:v>
                </c:pt>
                <c:pt idx="2">
                  <c:v>1000</c:v>
                </c:pt>
                <c:pt idx="3">
                  <c:v>1500</c:v>
                </c:pt>
                <c:pt idx="4">
                  <c:v>2000</c:v>
                </c:pt>
                <c:pt idx="5">
                  <c:v>2250</c:v>
                </c:pt>
              </c:numCache>
            </c:numRef>
          </c:xVal>
          <c:yVal>
            <c:numRef>
              <c:f>'Cost Curves S-PSH'!$C$4:$C$9</c:f>
              <c:numCache>
                <c:formatCode>General</c:formatCode>
                <c:ptCount val="6"/>
                <c:pt idx="0">
                  <c:v>116</c:v>
                </c:pt>
                <c:pt idx="1">
                  <c:v>96</c:v>
                </c:pt>
                <c:pt idx="2">
                  <c:v>76</c:v>
                </c:pt>
                <c:pt idx="3">
                  <c:v>69</c:v>
                </c:pt>
                <c:pt idx="4">
                  <c:v>63</c:v>
                </c:pt>
                <c:pt idx="5">
                  <c:v>62</c:v>
                </c:pt>
              </c:numCache>
            </c:numRef>
          </c:yVal>
          <c:smooth val="0"/>
          <c:extLst>
            <c:ext xmlns:c16="http://schemas.microsoft.com/office/drawing/2014/chart" uri="{C3380CC4-5D6E-409C-BE32-E72D297353CC}">
              <c16:uniqueId val="{00000003-0C88-9F43-AB51-01E22886E169}"/>
            </c:ext>
          </c:extLst>
        </c:ser>
        <c:ser>
          <c:idx val="2"/>
          <c:order val="2"/>
          <c:tx>
            <c:strRef>
              <c:f>'Cost Curves S-PSH'!$D$2:$D$3</c:f>
              <c:strCache>
                <c:ptCount val="2"/>
                <c:pt idx="0">
                  <c:v>$/kW Average Conditions</c:v>
                </c:pt>
                <c:pt idx="1">
                  <c:v>320 MW</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olid"/>
              </a:ln>
              <a:effectLst/>
            </c:spPr>
            <c:trendlineType val="power"/>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S-PSH'!$A$4:$A$9</c:f>
              <c:numCache>
                <c:formatCode>General</c:formatCode>
                <c:ptCount val="6"/>
                <c:pt idx="0">
                  <c:v>350</c:v>
                </c:pt>
                <c:pt idx="1">
                  <c:v>500</c:v>
                </c:pt>
                <c:pt idx="2">
                  <c:v>1000</c:v>
                </c:pt>
                <c:pt idx="3">
                  <c:v>1500</c:v>
                </c:pt>
                <c:pt idx="4">
                  <c:v>2000</c:v>
                </c:pt>
                <c:pt idx="5">
                  <c:v>2250</c:v>
                </c:pt>
              </c:numCache>
            </c:numRef>
          </c:xVal>
          <c:yVal>
            <c:numRef>
              <c:f>'Cost Curves S-PSH'!$D$4:$D$9</c:f>
              <c:numCache>
                <c:formatCode>General</c:formatCode>
                <c:ptCount val="6"/>
                <c:pt idx="0">
                  <c:v>104</c:v>
                </c:pt>
                <c:pt idx="1">
                  <c:v>86</c:v>
                </c:pt>
                <c:pt idx="2">
                  <c:v>68</c:v>
                </c:pt>
                <c:pt idx="3">
                  <c:v>59.5</c:v>
                </c:pt>
                <c:pt idx="4">
                  <c:v>58</c:v>
                </c:pt>
                <c:pt idx="5">
                  <c:v>57</c:v>
                </c:pt>
              </c:numCache>
            </c:numRef>
          </c:yVal>
          <c:smooth val="0"/>
          <c:extLst>
            <c:ext xmlns:c16="http://schemas.microsoft.com/office/drawing/2014/chart" uri="{C3380CC4-5D6E-409C-BE32-E72D297353CC}">
              <c16:uniqueId val="{00000005-0C88-9F43-AB51-01E22886E169}"/>
            </c:ext>
          </c:extLst>
        </c:ser>
        <c:ser>
          <c:idx val="3"/>
          <c:order val="3"/>
          <c:tx>
            <c:strRef>
              <c:f>'Cost Curves S-PSH'!$E$2:$E$3</c:f>
              <c:strCache>
                <c:ptCount val="2"/>
                <c:pt idx="0">
                  <c:v>$/kW Average Conditions</c:v>
                </c:pt>
                <c:pt idx="1">
                  <c:v>480 MW</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olid"/>
              </a:ln>
              <a:effectLst/>
            </c:spPr>
            <c:trendlineType val="power"/>
            <c:dispRSqr val="0"/>
            <c:dispEq val="1"/>
            <c:trendlineLbl>
              <c:layout>
                <c:manualLayout>
                  <c:x val="8.7420649816608888E-3"/>
                  <c:y val="1.2626514321692043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S-PSH'!$A$4:$A$9</c:f>
              <c:numCache>
                <c:formatCode>General</c:formatCode>
                <c:ptCount val="6"/>
                <c:pt idx="0">
                  <c:v>350</c:v>
                </c:pt>
                <c:pt idx="1">
                  <c:v>500</c:v>
                </c:pt>
                <c:pt idx="2">
                  <c:v>1000</c:v>
                </c:pt>
                <c:pt idx="3">
                  <c:v>1500</c:v>
                </c:pt>
                <c:pt idx="4">
                  <c:v>2000</c:v>
                </c:pt>
                <c:pt idx="5">
                  <c:v>2250</c:v>
                </c:pt>
              </c:numCache>
            </c:numRef>
          </c:xVal>
          <c:yVal>
            <c:numRef>
              <c:f>'Cost Curves S-PSH'!$E$4:$E$9</c:f>
              <c:numCache>
                <c:formatCode>General</c:formatCode>
                <c:ptCount val="6"/>
                <c:pt idx="0">
                  <c:v>92</c:v>
                </c:pt>
                <c:pt idx="1">
                  <c:v>78</c:v>
                </c:pt>
                <c:pt idx="2">
                  <c:v>60</c:v>
                </c:pt>
                <c:pt idx="3">
                  <c:v>54</c:v>
                </c:pt>
                <c:pt idx="4">
                  <c:v>50</c:v>
                </c:pt>
                <c:pt idx="5">
                  <c:v>49</c:v>
                </c:pt>
              </c:numCache>
            </c:numRef>
          </c:yVal>
          <c:smooth val="0"/>
          <c:extLst>
            <c:ext xmlns:c16="http://schemas.microsoft.com/office/drawing/2014/chart" uri="{C3380CC4-5D6E-409C-BE32-E72D297353CC}">
              <c16:uniqueId val="{00000007-0C88-9F43-AB51-01E22886E169}"/>
            </c:ext>
          </c:extLst>
        </c:ser>
        <c:ser>
          <c:idx val="4"/>
          <c:order val="4"/>
          <c:tx>
            <c:strRef>
              <c:f>'Cost Curves S-PSH'!$F$2:$F$3</c:f>
              <c:strCache>
                <c:ptCount val="2"/>
                <c:pt idx="0">
                  <c:v>$/kW Adverse Conditions</c:v>
                </c:pt>
                <c:pt idx="1">
                  <c:v>160 MW</c:v>
                </c:pt>
              </c:strCache>
            </c:strRef>
          </c:tx>
          <c:spPr>
            <a:ln w="25400" cap="rnd">
              <a:no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power"/>
            <c:dispRSqr val="0"/>
            <c:dispEq val="1"/>
            <c:trendlineLbl>
              <c:layout>
                <c:manualLayout>
                  <c:x val="-9.3026348678835215E-6"/>
                  <c:y val="-4.28057207642333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S-PSH'!$A$4:$A$9</c:f>
              <c:numCache>
                <c:formatCode>General</c:formatCode>
                <c:ptCount val="6"/>
                <c:pt idx="0">
                  <c:v>350</c:v>
                </c:pt>
                <c:pt idx="1">
                  <c:v>500</c:v>
                </c:pt>
                <c:pt idx="2">
                  <c:v>1000</c:v>
                </c:pt>
                <c:pt idx="3">
                  <c:v>1500</c:v>
                </c:pt>
                <c:pt idx="4">
                  <c:v>2000</c:v>
                </c:pt>
                <c:pt idx="5">
                  <c:v>2250</c:v>
                </c:pt>
              </c:numCache>
            </c:numRef>
          </c:xVal>
          <c:yVal>
            <c:numRef>
              <c:f>'Cost Curves S-PSH'!$F$4:$F$9</c:f>
              <c:numCache>
                <c:formatCode>General</c:formatCode>
                <c:ptCount val="6"/>
                <c:pt idx="0">
                  <c:v>174</c:v>
                </c:pt>
                <c:pt idx="1">
                  <c:v>150</c:v>
                </c:pt>
                <c:pt idx="2">
                  <c:v>116</c:v>
                </c:pt>
                <c:pt idx="3">
                  <c:v>103</c:v>
                </c:pt>
                <c:pt idx="4">
                  <c:v>98</c:v>
                </c:pt>
                <c:pt idx="5">
                  <c:v>97</c:v>
                </c:pt>
              </c:numCache>
            </c:numRef>
          </c:yVal>
          <c:smooth val="0"/>
          <c:extLst>
            <c:ext xmlns:c16="http://schemas.microsoft.com/office/drawing/2014/chart" uri="{C3380CC4-5D6E-409C-BE32-E72D297353CC}">
              <c16:uniqueId val="{00000009-0C88-9F43-AB51-01E22886E169}"/>
            </c:ext>
          </c:extLst>
        </c:ser>
        <c:ser>
          <c:idx val="5"/>
          <c:order val="5"/>
          <c:tx>
            <c:strRef>
              <c:f>'Cost Curves S-PSH'!$G$2:$G$3</c:f>
              <c:strCache>
                <c:ptCount val="2"/>
                <c:pt idx="0">
                  <c:v>$/kW Adverse Conditions</c:v>
                </c:pt>
                <c:pt idx="1">
                  <c:v>240 MW</c:v>
                </c:pt>
              </c:strCache>
            </c:strRef>
          </c:tx>
          <c:spPr>
            <a:ln w="25400" cap="rnd">
              <a:no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power"/>
            <c:dispRSqr val="0"/>
            <c:dispEq val="1"/>
            <c:trendlineLbl>
              <c:layout>
                <c:manualLayout>
                  <c:x val="-7.7980198135786426E-3"/>
                  <c:y val="-3.7116301230372843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S-PSH'!$A$4:$A$9</c:f>
              <c:numCache>
                <c:formatCode>General</c:formatCode>
                <c:ptCount val="6"/>
                <c:pt idx="0">
                  <c:v>350</c:v>
                </c:pt>
                <c:pt idx="1">
                  <c:v>500</c:v>
                </c:pt>
                <c:pt idx="2">
                  <c:v>1000</c:v>
                </c:pt>
                <c:pt idx="3">
                  <c:v>1500</c:v>
                </c:pt>
                <c:pt idx="4">
                  <c:v>2000</c:v>
                </c:pt>
                <c:pt idx="5">
                  <c:v>2250</c:v>
                </c:pt>
              </c:numCache>
            </c:numRef>
          </c:xVal>
          <c:yVal>
            <c:numRef>
              <c:f>'Cost Curves S-PSH'!$G$4:$G$9</c:f>
              <c:numCache>
                <c:formatCode>General</c:formatCode>
                <c:ptCount val="6"/>
                <c:pt idx="0">
                  <c:v>145</c:v>
                </c:pt>
                <c:pt idx="1">
                  <c:v>124</c:v>
                </c:pt>
                <c:pt idx="2">
                  <c:v>98</c:v>
                </c:pt>
                <c:pt idx="3">
                  <c:v>88</c:v>
                </c:pt>
                <c:pt idx="4">
                  <c:v>82</c:v>
                </c:pt>
                <c:pt idx="5">
                  <c:v>81</c:v>
                </c:pt>
              </c:numCache>
            </c:numRef>
          </c:yVal>
          <c:smooth val="0"/>
          <c:extLst>
            <c:ext xmlns:c16="http://schemas.microsoft.com/office/drawing/2014/chart" uri="{C3380CC4-5D6E-409C-BE32-E72D297353CC}">
              <c16:uniqueId val="{0000000B-0C88-9F43-AB51-01E22886E169}"/>
            </c:ext>
          </c:extLst>
        </c:ser>
        <c:ser>
          <c:idx val="6"/>
          <c:order val="6"/>
          <c:tx>
            <c:strRef>
              <c:f>'Cost Curves S-PSH'!$H$2:$H$3</c:f>
              <c:strCache>
                <c:ptCount val="2"/>
                <c:pt idx="0">
                  <c:v>$/kW Adverse Conditions</c:v>
                </c:pt>
                <c:pt idx="1">
                  <c:v>320 MW</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trendline>
            <c:spPr>
              <a:ln w="19050" cap="rnd">
                <a:solidFill>
                  <a:schemeClr val="accent1">
                    <a:lumMod val="60000"/>
                  </a:schemeClr>
                </a:solidFill>
                <a:prstDash val="sysDot"/>
              </a:ln>
              <a:effectLst/>
            </c:spPr>
            <c:trendlineType val="power"/>
            <c:dispRSqr val="0"/>
            <c:dispEq val="0"/>
          </c:trendline>
          <c:xVal>
            <c:numRef>
              <c:f>'Cost Curves S-PSH'!$A$4:$A$9</c:f>
              <c:numCache>
                <c:formatCode>General</c:formatCode>
                <c:ptCount val="6"/>
                <c:pt idx="0">
                  <c:v>350</c:v>
                </c:pt>
                <c:pt idx="1">
                  <c:v>500</c:v>
                </c:pt>
                <c:pt idx="2">
                  <c:v>1000</c:v>
                </c:pt>
                <c:pt idx="3">
                  <c:v>1500</c:v>
                </c:pt>
                <c:pt idx="4">
                  <c:v>2000</c:v>
                </c:pt>
                <c:pt idx="5">
                  <c:v>2250</c:v>
                </c:pt>
              </c:numCache>
            </c:numRef>
          </c:xVal>
          <c:yVal>
            <c:numRef>
              <c:f>'Cost Curves S-PSH'!$H$4:$H$9</c:f>
              <c:numCache>
                <c:formatCode>General</c:formatCode>
                <c:ptCount val="6"/>
                <c:pt idx="0">
                  <c:v>132</c:v>
                </c:pt>
                <c:pt idx="1">
                  <c:v>113.5</c:v>
                </c:pt>
                <c:pt idx="2">
                  <c:v>86</c:v>
                </c:pt>
                <c:pt idx="3">
                  <c:v>77</c:v>
                </c:pt>
                <c:pt idx="4">
                  <c:v>72</c:v>
                </c:pt>
                <c:pt idx="5">
                  <c:v>71</c:v>
                </c:pt>
              </c:numCache>
            </c:numRef>
          </c:yVal>
          <c:smooth val="0"/>
          <c:extLst>
            <c:ext xmlns:c16="http://schemas.microsoft.com/office/drawing/2014/chart" uri="{C3380CC4-5D6E-409C-BE32-E72D297353CC}">
              <c16:uniqueId val="{0000000D-0C88-9F43-AB51-01E22886E169}"/>
            </c:ext>
          </c:extLst>
        </c:ser>
        <c:ser>
          <c:idx val="7"/>
          <c:order val="7"/>
          <c:tx>
            <c:strRef>
              <c:f>'Cost Curves S-PSH'!$I$2:$I$3</c:f>
              <c:strCache>
                <c:ptCount val="2"/>
                <c:pt idx="0">
                  <c:v>$/kW Adverse Conditions</c:v>
                </c:pt>
                <c:pt idx="1">
                  <c:v>480 MW</c:v>
                </c:pt>
              </c:strCache>
            </c:strRef>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trendline>
            <c:spPr>
              <a:ln w="19050" cap="rnd">
                <a:solidFill>
                  <a:schemeClr val="accent2">
                    <a:lumMod val="60000"/>
                  </a:schemeClr>
                </a:solidFill>
                <a:prstDash val="sysDot"/>
              </a:ln>
              <a:effectLst/>
            </c:spPr>
            <c:trendlineType val="power"/>
            <c:dispRSqr val="0"/>
            <c:dispEq val="0"/>
          </c:trendline>
          <c:xVal>
            <c:numRef>
              <c:f>'Cost Curves S-PSH'!$A$4:$A$9</c:f>
              <c:numCache>
                <c:formatCode>General</c:formatCode>
                <c:ptCount val="6"/>
                <c:pt idx="0">
                  <c:v>350</c:v>
                </c:pt>
                <c:pt idx="1">
                  <c:v>500</c:v>
                </c:pt>
                <c:pt idx="2">
                  <c:v>1000</c:v>
                </c:pt>
                <c:pt idx="3">
                  <c:v>1500</c:v>
                </c:pt>
                <c:pt idx="4">
                  <c:v>2000</c:v>
                </c:pt>
                <c:pt idx="5">
                  <c:v>2250</c:v>
                </c:pt>
              </c:numCache>
            </c:numRef>
          </c:xVal>
          <c:yVal>
            <c:numRef>
              <c:f>'Cost Curves S-PSH'!$I$4:$I$9</c:f>
              <c:numCache>
                <c:formatCode>General</c:formatCode>
                <c:ptCount val="6"/>
                <c:pt idx="0">
                  <c:v>118</c:v>
                </c:pt>
                <c:pt idx="1">
                  <c:v>102</c:v>
                </c:pt>
                <c:pt idx="2">
                  <c:v>76.5</c:v>
                </c:pt>
                <c:pt idx="3">
                  <c:v>68.5</c:v>
                </c:pt>
                <c:pt idx="4">
                  <c:v>62.5</c:v>
                </c:pt>
                <c:pt idx="5">
                  <c:v>62</c:v>
                </c:pt>
              </c:numCache>
            </c:numRef>
          </c:yVal>
          <c:smooth val="0"/>
          <c:extLst>
            <c:ext xmlns:c16="http://schemas.microsoft.com/office/drawing/2014/chart" uri="{C3380CC4-5D6E-409C-BE32-E72D297353CC}">
              <c16:uniqueId val="{0000000F-0C88-9F43-AB51-01E22886E169}"/>
            </c:ext>
          </c:extLst>
        </c:ser>
        <c:dLbls>
          <c:showLegendKey val="0"/>
          <c:showVal val="0"/>
          <c:showCatName val="0"/>
          <c:showSerName val="0"/>
          <c:showPercent val="0"/>
          <c:showBubbleSize val="0"/>
        </c:dLbls>
        <c:axId val="1887612559"/>
        <c:axId val="1887614207"/>
      </c:scatterChart>
      <c:valAx>
        <c:axId val="18876125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7614207"/>
        <c:crosses val="autoZero"/>
        <c:crossBetween val="midCat"/>
      </c:valAx>
      <c:valAx>
        <c:axId val="18876142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76125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Underground Powestation Structure Cost $/kW</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S-PSH'!$L$2:$L$3</c:f>
              <c:strCache>
                <c:ptCount val="2"/>
                <c:pt idx="0">
                  <c:v>$/kW Average Conditions</c:v>
                </c:pt>
                <c:pt idx="1">
                  <c:v>700 MW</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olid"/>
              </a:ln>
              <a:effectLst/>
            </c:spPr>
            <c:trendlineType val="power"/>
            <c:dispRSqr val="0"/>
            <c:dispEq val="0"/>
          </c:trendline>
          <c:xVal>
            <c:numRef>
              <c:f>'Cost Curves S-PSH'!$K$4:$K$8</c:f>
              <c:numCache>
                <c:formatCode>General</c:formatCode>
                <c:ptCount val="5"/>
                <c:pt idx="0">
                  <c:v>500</c:v>
                </c:pt>
                <c:pt idx="1">
                  <c:v>1000</c:v>
                </c:pt>
                <c:pt idx="2">
                  <c:v>1500</c:v>
                </c:pt>
                <c:pt idx="3">
                  <c:v>2000</c:v>
                </c:pt>
                <c:pt idx="4">
                  <c:v>2250</c:v>
                </c:pt>
              </c:numCache>
            </c:numRef>
          </c:xVal>
          <c:yVal>
            <c:numRef>
              <c:f>'Cost Curves S-PSH'!$L$4:$L$8</c:f>
              <c:numCache>
                <c:formatCode>General</c:formatCode>
                <c:ptCount val="5"/>
                <c:pt idx="0">
                  <c:v>78</c:v>
                </c:pt>
                <c:pt idx="1">
                  <c:v>48</c:v>
                </c:pt>
                <c:pt idx="2">
                  <c:v>40.5</c:v>
                </c:pt>
                <c:pt idx="3">
                  <c:v>36</c:v>
                </c:pt>
                <c:pt idx="4">
                  <c:v>35</c:v>
                </c:pt>
              </c:numCache>
            </c:numRef>
          </c:yVal>
          <c:smooth val="0"/>
          <c:extLst>
            <c:ext xmlns:c16="http://schemas.microsoft.com/office/drawing/2014/chart" uri="{C3380CC4-5D6E-409C-BE32-E72D297353CC}">
              <c16:uniqueId val="{00000001-5049-914B-8D6F-1537F6E6C0F4}"/>
            </c:ext>
          </c:extLst>
        </c:ser>
        <c:ser>
          <c:idx val="1"/>
          <c:order val="1"/>
          <c:tx>
            <c:strRef>
              <c:f>'Cost Curves S-PSH'!$M$2:$M$3</c:f>
              <c:strCache>
                <c:ptCount val="2"/>
                <c:pt idx="0">
                  <c:v>$/kW Average Conditions</c:v>
                </c:pt>
                <c:pt idx="1">
                  <c:v>1050 MW</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olid"/>
              </a:ln>
              <a:effectLst/>
            </c:spPr>
            <c:trendlineType val="power"/>
            <c:dispRSqr val="0"/>
            <c:dispEq val="0"/>
          </c:trendline>
          <c:xVal>
            <c:numRef>
              <c:f>'Cost Curves S-PSH'!$K$4:$K$8</c:f>
              <c:numCache>
                <c:formatCode>General</c:formatCode>
                <c:ptCount val="5"/>
                <c:pt idx="0">
                  <c:v>500</c:v>
                </c:pt>
                <c:pt idx="1">
                  <c:v>1000</c:v>
                </c:pt>
                <c:pt idx="2">
                  <c:v>1500</c:v>
                </c:pt>
                <c:pt idx="3">
                  <c:v>2000</c:v>
                </c:pt>
                <c:pt idx="4">
                  <c:v>2250</c:v>
                </c:pt>
              </c:numCache>
            </c:numRef>
          </c:xVal>
          <c:yVal>
            <c:numRef>
              <c:f>'Cost Curves S-PSH'!$M$4:$M$8</c:f>
              <c:numCache>
                <c:formatCode>General</c:formatCode>
                <c:ptCount val="5"/>
                <c:pt idx="0">
                  <c:v>70</c:v>
                </c:pt>
                <c:pt idx="1">
                  <c:v>42</c:v>
                </c:pt>
                <c:pt idx="2">
                  <c:v>34</c:v>
                </c:pt>
                <c:pt idx="3">
                  <c:v>31</c:v>
                </c:pt>
                <c:pt idx="4">
                  <c:v>30</c:v>
                </c:pt>
              </c:numCache>
            </c:numRef>
          </c:yVal>
          <c:smooth val="0"/>
          <c:extLst>
            <c:ext xmlns:c16="http://schemas.microsoft.com/office/drawing/2014/chart" uri="{C3380CC4-5D6E-409C-BE32-E72D297353CC}">
              <c16:uniqueId val="{00000003-5049-914B-8D6F-1537F6E6C0F4}"/>
            </c:ext>
          </c:extLst>
        </c:ser>
        <c:ser>
          <c:idx val="2"/>
          <c:order val="2"/>
          <c:tx>
            <c:strRef>
              <c:f>'Cost Curves S-PSH'!$N$2:$N$3</c:f>
              <c:strCache>
                <c:ptCount val="2"/>
                <c:pt idx="0">
                  <c:v>$/kW Average Conditions</c:v>
                </c:pt>
                <c:pt idx="1">
                  <c:v>1400 MW</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olid"/>
              </a:ln>
              <a:effectLst/>
            </c:spPr>
            <c:trendlineType val="power"/>
            <c:dispRSqr val="0"/>
            <c:dispEq val="0"/>
          </c:trendline>
          <c:xVal>
            <c:numRef>
              <c:f>'Cost Curves S-PSH'!$K$4:$K$8</c:f>
              <c:numCache>
                <c:formatCode>General</c:formatCode>
                <c:ptCount val="5"/>
                <c:pt idx="0">
                  <c:v>500</c:v>
                </c:pt>
                <c:pt idx="1">
                  <c:v>1000</c:v>
                </c:pt>
                <c:pt idx="2">
                  <c:v>1500</c:v>
                </c:pt>
                <c:pt idx="3">
                  <c:v>2000</c:v>
                </c:pt>
                <c:pt idx="4">
                  <c:v>2250</c:v>
                </c:pt>
              </c:numCache>
            </c:numRef>
          </c:xVal>
          <c:yVal>
            <c:numRef>
              <c:f>'Cost Curves S-PSH'!$N$4:$N$8</c:f>
              <c:numCache>
                <c:formatCode>General</c:formatCode>
                <c:ptCount val="5"/>
                <c:pt idx="0">
                  <c:v>62</c:v>
                </c:pt>
                <c:pt idx="1">
                  <c:v>37</c:v>
                </c:pt>
                <c:pt idx="2">
                  <c:v>30</c:v>
                </c:pt>
                <c:pt idx="3">
                  <c:v>26</c:v>
                </c:pt>
                <c:pt idx="4">
                  <c:v>25</c:v>
                </c:pt>
              </c:numCache>
            </c:numRef>
          </c:yVal>
          <c:smooth val="0"/>
          <c:extLst>
            <c:ext xmlns:c16="http://schemas.microsoft.com/office/drawing/2014/chart" uri="{C3380CC4-5D6E-409C-BE32-E72D297353CC}">
              <c16:uniqueId val="{00000005-5049-914B-8D6F-1537F6E6C0F4}"/>
            </c:ext>
          </c:extLst>
        </c:ser>
        <c:ser>
          <c:idx val="3"/>
          <c:order val="3"/>
          <c:tx>
            <c:strRef>
              <c:f>'Cost Curves S-PSH'!$O$2:$O$3</c:f>
              <c:strCache>
                <c:ptCount val="2"/>
                <c:pt idx="0">
                  <c:v>$/kW Average Conditions</c:v>
                </c:pt>
                <c:pt idx="1">
                  <c:v>2100 MW</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olid"/>
              </a:ln>
              <a:effectLst/>
            </c:spPr>
            <c:trendlineType val="power"/>
            <c:dispRSqr val="0"/>
            <c:dispEq val="0"/>
          </c:trendline>
          <c:xVal>
            <c:numRef>
              <c:f>'Cost Curves S-PSH'!$K$4:$K$8</c:f>
              <c:numCache>
                <c:formatCode>General</c:formatCode>
                <c:ptCount val="5"/>
                <c:pt idx="0">
                  <c:v>500</c:v>
                </c:pt>
                <c:pt idx="1">
                  <c:v>1000</c:v>
                </c:pt>
                <c:pt idx="2">
                  <c:v>1500</c:v>
                </c:pt>
                <c:pt idx="3">
                  <c:v>2000</c:v>
                </c:pt>
                <c:pt idx="4">
                  <c:v>2250</c:v>
                </c:pt>
              </c:numCache>
            </c:numRef>
          </c:xVal>
          <c:yVal>
            <c:numRef>
              <c:f>'Cost Curves S-PSH'!$O$4:$O$8</c:f>
              <c:numCache>
                <c:formatCode>General</c:formatCode>
                <c:ptCount val="5"/>
                <c:pt idx="0">
                  <c:v>58</c:v>
                </c:pt>
                <c:pt idx="1">
                  <c:v>33</c:v>
                </c:pt>
                <c:pt idx="2">
                  <c:v>26</c:v>
                </c:pt>
                <c:pt idx="3">
                  <c:v>24</c:v>
                </c:pt>
                <c:pt idx="4">
                  <c:v>23</c:v>
                </c:pt>
              </c:numCache>
            </c:numRef>
          </c:yVal>
          <c:smooth val="0"/>
          <c:extLst>
            <c:ext xmlns:c16="http://schemas.microsoft.com/office/drawing/2014/chart" uri="{C3380CC4-5D6E-409C-BE32-E72D297353CC}">
              <c16:uniqueId val="{00000007-5049-914B-8D6F-1537F6E6C0F4}"/>
            </c:ext>
          </c:extLst>
        </c:ser>
        <c:ser>
          <c:idx val="4"/>
          <c:order val="4"/>
          <c:tx>
            <c:strRef>
              <c:f>'Cost Curves S-PSH'!$P$2:$P$3</c:f>
              <c:strCache>
                <c:ptCount val="2"/>
                <c:pt idx="0">
                  <c:v>$/kW Adverse Conditions</c:v>
                </c:pt>
                <c:pt idx="1">
                  <c:v>700 MW</c:v>
                </c:pt>
              </c:strCache>
            </c:strRef>
          </c:tx>
          <c:spPr>
            <a:ln w="25400" cap="rnd">
              <a:no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power"/>
            <c:dispRSqr val="0"/>
            <c:dispEq val="1"/>
            <c:trendlineLbl>
              <c:layout>
                <c:manualLayout>
                  <c:x val="-2.7020809529397061E-2"/>
                  <c:y val="-0.1752583896269936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S-PSH'!$K$4:$K$8</c:f>
              <c:numCache>
                <c:formatCode>General</c:formatCode>
                <c:ptCount val="5"/>
                <c:pt idx="0">
                  <c:v>500</c:v>
                </c:pt>
                <c:pt idx="1">
                  <c:v>1000</c:v>
                </c:pt>
                <c:pt idx="2">
                  <c:v>1500</c:v>
                </c:pt>
                <c:pt idx="3">
                  <c:v>2000</c:v>
                </c:pt>
                <c:pt idx="4">
                  <c:v>2250</c:v>
                </c:pt>
              </c:numCache>
            </c:numRef>
          </c:xVal>
          <c:yVal>
            <c:numRef>
              <c:f>'Cost Curves S-PSH'!$P$4:$P$8</c:f>
              <c:numCache>
                <c:formatCode>General</c:formatCode>
                <c:ptCount val="5"/>
                <c:pt idx="0">
                  <c:v>98</c:v>
                </c:pt>
                <c:pt idx="1">
                  <c:v>62</c:v>
                </c:pt>
                <c:pt idx="2">
                  <c:v>53</c:v>
                </c:pt>
                <c:pt idx="3">
                  <c:v>45</c:v>
                </c:pt>
                <c:pt idx="4">
                  <c:v>44</c:v>
                </c:pt>
              </c:numCache>
            </c:numRef>
          </c:yVal>
          <c:smooth val="0"/>
          <c:extLst>
            <c:ext xmlns:c16="http://schemas.microsoft.com/office/drawing/2014/chart" uri="{C3380CC4-5D6E-409C-BE32-E72D297353CC}">
              <c16:uniqueId val="{00000009-5049-914B-8D6F-1537F6E6C0F4}"/>
            </c:ext>
          </c:extLst>
        </c:ser>
        <c:ser>
          <c:idx val="5"/>
          <c:order val="5"/>
          <c:tx>
            <c:strRef>
              <c:f>'Cost Curves S-PSH'!$Q$2:$Q$3</c:f>
              <c:strCache>
                <c:ptCount val="2"/>
                <c:pt idx="0">
                  <c:v>$/kW Adverse Conditions</c:v>
                </c:pt>
                <c:pt idx="1">
                  <c:v>1050 MW</c:v>
                </c:pt>
              </c:strCache>
            </c:strRef>
          </c:tx>
          <c:spPr>
            <a:ln w="25400" cap="rnd">
              <a:no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power"/>
            <c:dispRSqr val="0"/>
            <c:dispEq val="1"/>
            <c:trendlineLbl>
              <c:layout>
                <c:manualLayout>
                  <c:x val="-1.2221293937194037E-2"/>
                  <c:y val="-0.1598620475119259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S-PSH'!$K$4:$K$8</c:f>
              <c:numCache>
                <c:formatCode>General</c:formatCode>
                <c:ptCount val="5"/>
                <c:pt idx="0">
                  <c:v>500</c:v>
                </c:pt>
                <c:pt idx="1">
                  <c:v>1000</c:v>
                </c:pt>
                <c:pt idx="2">
                  <c:v>1500</c:v>
                </c:pt>
                <c:pt idx="3">
                  <c:v>2000</c:v>
                </c:pt>
                <c:pt idx="4">
                  <c:v>2250</c:v>
                </c:pt>
              </c:numCache>
            </c:numRef>
          </c:xVal>
          <c:yVal>
            <c:numRef>
              <c:f>'Cost Curves S-PSH'!$Q$4:$Q$8</c:f>
              <c:numCache>
                <c:formatCode>General</c:formatCode>
                <c:ptCount val="5"/>
                <c:pt idx="0">
                  <c:v>84</c:v>
                </c:pt>
                <c:pt idx="1">
                  <c:v>52</c:v>
                </c:pt>
                <c:pt idx="2">
                  <c:v>43</c:v>
                </c:pt>
                <c:pt idx="3">
                  <c:v>39</c:v>
                </c:pt>
                <c:pt idx="4">
                  <c:v>38</c:v>
                </c:pt>
              </c:numCache>
            </c:numRef>
          </c:yVal>
          <c:smooth val="0"/>
          <c:extLst>
            <c:ext xmlns:c16="http://schemas.microsoft.com/office/drawing/2014/chart" uri="{C3380CC4-5D6E-409C-BE32-E72D297353CC}">
              <c16:uniqueId val="{0000000B-5049-914B-8D6F-1537F6E6C0F4}"/>
            </c:ext>
          </c:extLst>
        </c:ser>
        <c:ser>
          <c:idx val="6"/>
          <c:order val="6"/>
          <c:tx>
            <c:strRef>
              <c:f>'Cost Curves S-PSH'!$R$2:$R$3</c:f>
              <c:strCache>
                <c:ptCount val="2"/>
                <c:pt idx="0">
                  <c:v>$/kW Adverse Conditions</c:v>
                </c:pt>
                <c:pt idx="1">
                  <c:v>1400 MW</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trendline>
            <c:spPr>
              <a:ln w="19050" cap="rnd">
                <a:solidFill>
                  <a:schemeClr val="accent1">
                    <a:lumMod val="60000"/>
                  </a:schemeClr>
                </a:solidFill>
                <a:prstDash val="sysDot"/>
              </a:ln>
              <a:effectLst/>
            </c:spPr>
            <c:trendlineType val="power"/>
            <c:dispRSqr val="0"/>
            <c:dispEq val="1"/>
            <c:trendlineLbl>
              <c:layout>
                <c:manualLayout>
                  <c:x val="6.6136115209676244E-4"/>
                  <c:y val="-0.1383712583199141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S-PSH'!$K$4:$K$8</c:f>
              <c:numCache>
                <c:formatCode>General</c:formatCode>
                <c:ptCount val="5"/>
                <c:pt idx="0">
                  <c:v>500</c:v>
                </c:pt>
                <c:pt idx="1">
                  <c:v>1000</c:v>
                </c:pt>
                <c:pt idx="2">
                  <c:v>1500</c:v>
                </c:pt>
                <c:pt idx="3">
                  <c:v>2000</c:v>
                </c:pt>
                <c:pt idx="4">
                  <c:v>2250</c:v>
                </c:pt>
              </c:numCache>
            </c:numRef>
          </c:xVal>
          <c:yVal>
            <c:numRef>
              <c:f>'Cost Curves S-PSH'!$R$4:$R$8</c:f>
              <c:numCache>
                <c:formatCode>General</c:formatCode>
                <c:ptCount val="5"/>
                <c:pt idx="0">
                  <c:v>78</c:v>
                </c:pt>
                <c:pt idx="1">
                  <c:v>46</c:v>
                </c:pt>
                <c:pt idx="2">
                  <c:v>39</c:v>
                </c:pt>
                <c:pt idx="3">
                  <c:v>34.5</c:v>
                </c:pt>
                <c:pt idx="4">
                  <c:v>33.5</c:v>
                </c:pt>
              </c:numCache>
            </c:numRef>
          </c:yVal>
          <c:smooth val="0"/>
          <c:extLst>
            <c:ext xmlns:c16="http://schemas.microsoft.com/office/drawing/2014/chart" uri="{C3380CC4-5D6E-409C-BE32-E72D297353CC}">
              <c16:uniqueId val="{0000000D-5049-914B-8D6F-1537F6E6C0F4}"/>
            </c:ext>
          </c:extLst>
        </c:ser>
        <c:ser>
          <c:idx val="7"/>
          <c:order val="7"/>
          <c:tx>
            <c:strRef>
              <c:f>'Cost Curves S-PSH'!$S$2:$S$3</c:f>
              <c:strCache>
                <c:ptCount val="2"/>
                <c:pt idx="0">
                  <c:v>$/kW Adverse Conditions</c:v>
                </c:pt>
                <c:pt idx="1">
                  <c:v>2100 MW</c:v>
                </c:pt>
              </c:strCache>
            </c:strRef>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trendline>
            <c:spPr>
              <a:ln w="19050" cap="rnd">
                <a:solidFill>
                  <a:schemeClr val="accent2">
                    <a:lumMod val="60000"/>
                  </a:schemeClr>
                </a:solidFill>
                <a:prstDash val="sysDot"/>
              </a:ln>
              <a:effectLst/>
            </c:spPr>
            <c:trendlineType val="power"/>
            <c:dispRSqr val="0"/>
            <c:dispEq val="1"/>
            <c:trendlineLbl>
              <c:layout>
                <c:manualLayout>
                  <c:x val="-4.4508035658757774E-3"/>
                  <c:y val="-0.1248295406154525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S-PSH'!$K$4:$K$8</c:f>
              <c:numCache>
                <c:formatCode>General</c:formatCode>
                <c:ptCount val="5"/>
                <c:pt idx="0">
                  <c:v>500</c:v>
                </c:pt>
                <c:pt idx="1">
                  <c:v>1000</c:v>
                </c:pt>
                <c:pt idx="2">
                  <c:v>1500</c:v>
                </c:pt>
                <c:pt idx="3">
                  <c:v>2000</c:v>
                </c:pt>
                <c:pt idx="4">
                  <c:v>2250</c:v>
                </c:pt>
              </c:numCache>
            </c:numRef>
          </c:xVal>
          <c:yVal>
            <c:numRef>
              <c:f>'Cost Curves S-PSH'!$S$4:$S$8</c:f>
              <c:numCache>
                <c:formatCode>General</c:formatCode>
                <c:ptCount val="5"/>
                <c:pt idx="0">
                  <c:v>70</c:v>
                </c:pt>
                <c:pt idx="1">
                  <c:v>42.25</c:v>
                </c:pt>
                <c:pt idx="2">
                  <c:v>34.5</c:v>
                </c:pt>
                <c:pt idx="3">
                  <c:v>26</c:v>
                </c:pt>
                <c:pt idx="4">
                  <c:v>25</c:v>
                </c:pt>
              </c:numCache>
            </c:numRef>
          </c:yVal>
          <c:smooth val="0"/>
          <c:extLst>
            <c:ext xmlns:c16="http://schemas.microsoft.com/office/drawing/2014/chart" uri="{C3380CC4-5D6E-409C-BE32-E72D297353CC}">
              <c16:uniqueId val="{0000000F-5049-914B-8D6F-1537F6E6C0F4}"/>
            </c:ext>
          </c:extLst>
        </c:ser>
        <c:dLbls>
          <c:showLegendKey val="0"/>
          <c:showVal val="0"/>
          <c:showCatName val="0"/>
          <c:showSerName val="0"/>
          <c:showPercent val="0"/>
          <c:showBubbleSize val="0"/>
        </c:dLbls>
        <c:axId val="94424896"/>
        <c:axId val="1892068159"/>
      </c:scatterChart>
      <c:valAx>
        <c:axId val="9442489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2068159"/>
        <c:crosses val="autoZero"/>
        <c:crossBetween val="midCat"/>
      </c:valAx>
      <c:valAx>
        <c:axId val="18920681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424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Surface Powestation Structure Cost $/kW</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S-PSH'!$V$2:$V$3</c:f>
              <c:strCache>
                <c:ptCount val="2"/>
                <c:pt idx="0">
                  <c:v>$/kW Average Conditions</c:v>
                </c:pt>
                <c:pt idx="1">
                  <c:v>160 MW</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olid"/>
              </a:ln>
              <a:effectLst/>
            </c:spPr>
            <c:trendlineType val="poly"/>
            <c:order val="2"/>
            <c:dispRSqr val="0"/>
            <c:dispEq val="1"/>
            <c:trendlineLbl>
              <c:layout>
                <c:manualLayout>
                  <c:x val="-9.8334950654457007E-2"/>
                  <c:y val="9.0674234664883183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S-PSH'!$U$5:$U$9</c:f>
              <c:numCache>
                <c:formatCode>General</c:formatCode>
                <c:ptCount val="5"/>
                <c:pt idx="0">
                  <c:v>500</c:v>
                </c:pt>
                <c:pt idx="1">
                  <c:v>1000</c:v>
                </c:pt>
                <c:pt idx="2">
                  <c:v>1500</c:v>
                </c:pt>
                <c:pt idx="3">
                  <c:v>2000</c:v>
                </c:pt>
                <c:pt idx="4">
                  <c:v>2250</c:v>
                </c:pt>
              </c:numCache>
            </c:numRef>
          </c:xVal>
          <c:yVal>
            <c:numRef>
              <c:f>'Cost Curves S-PSH'!$V$5:$V$9</c:f>
              <c:numCache>
                <c:formatCode>General</c:formatCode>
                <c:ptCount val="5"/>
                <c:pt idx="0">
                  <c:v>84</c:v>
                </c:pt>
                <c:pt idx="1">
                  <c:v>87</c:v>
                </c:pt>
                <c:pt idx="2">
                  <c:v>92.5</c:v>
                </c:pt>
                <c:pt idx="3">
                  <c:v>102</c:v>
                </c:pt>
                <c:pt idx="4">
                  <c:v>105.5</c:v>
                </c:pt>
              </c:numCache>
            </c:numRef>
          </c:yVal>
          <c:smooth val="0"/>
          <c:extLst>
            <c:ext xmlns:c16="http://schemas.microsoft.com/office/drawing/2014/chart" uri="{C3380CC4-5D6E-409C-BE32-E72D297353CC}">
              <c16:uniqueId val="{00000001-6C8E-7940-86D3-A5D1B47D059E}"/>
            </c:ext>
          </c:extLst>
        </c:ser>
        <c:ser>
          <c:idx val="1"/>
          <c:order val="1"/>
          <c:tx>
            <c:strRef>
              <c:f>'Cost Curves S-PSH'!$W$2:$W$3</c:f>
              <c:strCache>
                <c:ptCount val="2"/>
                <c:pt idx="0">
                  <c:v>$/kW Average Conditions</c:v>
                </c:pt>
                <c:pt idx="1">
                  <c:v>240 MW</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olid"/>
              </a:ln>
              <a:effectLst/>
            </c:spPr>
            <c:trendlineType val="poly"/>
            <c:order val="2"/>
            <c:dispRSqr val="0"/>
            <c:dispEq val="1"/>
            <c:trendlineLbl>
              <c:layout>
                <c:manualLayout>
                  <c:x val="-9.6466407002411977E-2"/>
                  <c:y val="0.1043358532984782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S-PSH'!$U$5:$U$9</c:f>
              <c:numCache>
                <c:formatCode>General</c:formatCode>
                <c:ptCount val="5"/>
                <c:pt idx="0">
                  <c:v>500</c:v>
                </c:pt>
                <c:pt idx="1">
                  <c:v>1000</c:v>
                </c:pt>
                <c:pt idx="2">
                  <c:v>1500</c:v>
                </c:pt>
                <c:pt idx="3">
                  <c:v>2000</c:v>
                </c:pt>
                <c:pt idx="4">
                  <c:v>2250</c:v>
                </c:pt>
              </c:numCache>
            </c:numRef>
          </c:xVal>
          <c:yVal>
            <c:numRef>
              <c:f>'Cost Curves S-PSH'!$W$5:$W$9</c:f>
              <c:numCache>
                <c:formatCode>General</c:formatCode>
                <c:ptCount val="5"/>
                <c:pt idx="0">
                  <c:v>77.25</c:v>
                </c:pt>
                <c:pt idx="1">
                  <c:v>80</c:v>
                </c:pt>
                <c:pt idx="2">
                  <c:v>86</c:v>
                </c:pt>
                <c:pt idx="3">
                  <c:v>95</c:v>
                </c:pt>
                <c:pt idx="4">
                  <c:v>98</c:v>
                </c:pt>
              </c:numCache>
            </c:numRef>
          </c:yVal>
          <c:smooth val="0"/>
          <c:extLst>
            <c:ext xmlns:c16="http://schemas.microsoft.com/office/drawing/2014/chart" uri="{C3380CC4-5D6E-409C-BE32-E72D297353CC}">
              <c16:uniqueId val="{00000003-6C8E-7940-86D3-A5D1B47D059E}"/>
            </c:ext>
          </c:extLst>
        </c:ser>
        <c:ser>
          <c:idx val="2"/>
          <c:order val="2"/>
          <c:tx>
            <c:strRef>
              <c:f>'Cost Curves S-PSH'!$X$2:$X$3</c:f>
              <c:strCache>
                <c:ptCount val="2"/>
                <c:pt idx="0">
                  <c:v>$/kW Average Conditions</c:v>
                </c:pt>
                <c:pt idx="1">
                  <c:v>320 MW</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olid"/>
              </a:ln>
              <a:effectLst/>
            </c:spPr>
            <c:trendlineType val="poly"/>
            <c:order val="2"/>
            <c:dispRSqr val="0"/>
            <c:dispEq val="1"/>
            <c:trendlineLbl>
              <c:layout>
                <c:manualLayout>
                  <c:x val="-9.1312083722444162E-2"/>
                  <c:y val="0.1315630069029131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S-PSH'!$U$5:$U$9</c:f>
              <c:numCache>
                <c:formatCode>General</c:formatCode>
                <c:ptCount val="5"/>
                <c:pt idx="0">
                  <c:v>500</c:v>
                </c:pt>
                <c:pt idx="1">
                  <c:v>1000</c:v>
                </c:pt>
                <c:pt idx="2">
                  <c:v>1500</c:v>
                </c:pt>
                <c:pt idx="3">
                  <c:v>2000</c:v>
                </c:pt>
                <c:pt idx="4">
                  <c:v>2250</c:v>
                </c:pt>
              </c:numCache>
            </c:numRef>
          </c:xVal>
          <c:yVal>
            <c:numRef>
              <c:f>'Cost Curves S-PSH'!$X$5:$X$9</c:f>
              <c:numCache>
                <c:formatCode>General</c:formatCode>
                <c:ptCount val="5"/>
                <c:pt idx="0">
                  <c:v>74</c:v>
                </c:pt>
                <c:pt idx="1">
                  <c:v>76</c:v>
                </c:pt>
                <c:pt idx="2">
                  <c:v>84</c:v>
                </c:pt>
                <c:pt idx="3">
                  <c:v>92</c:v>
                </c:pt>
                <c:pt idx="4">
                  <c:v>95</c:v>
                </c:pt>
              </c:numCache>
            </c:numRef>
          </c:yVal>
          <c:smooth val="0"/>
          <c:extLst>
            <c:ext xmlns:c16="http://schemas.microsoft.com/office/drawing/2014/chart" uri="{C3380CC4-5D6E-409C-BE32-E72D297353CC}">
              <c16:uniqueId val="{00000005-6C8E-7940-86D3-A5D1B47D059E}"/>
            </c:ext>
          </c:extLst>
        </c:ser>
        <c:ser>
          <c:idx val="3"/>
          <c:order val="3"/>
          <c:tx>
            <c:strRef>
              <c:f>'Cost Curves S-PSH'!$Y$2:$Y$3</c:f>
              <c:strCache>
                <c:ptCount val="2"/>
                <c:pt idx="0">
                  <c:v>$/kW Average Conditions</c:v>
                </c:pt>
                <c:pt idx="1">
                  <c:v>480 MW</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olid"/>
              </a:ln>
              <a:effectLst/>
            </c:spPr>
            <c:trendlineType val="poly"/>
            <c:order val="2"/>
            <c:dispRSqr val="0"/>
            <c:dispEq val="1"/>
            <c:trendlineLbl>
              <c:layout>
                <c:manualLayout>
                  <c:x val="-8.8734922082460241E-2"/>
                  <c:y val="0.1489102962924517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S-PSH'!$U$5:$U$9</c:f>
              <c:numCache>
                <c:formatCode>General</c:formatCode>
                <c:ptCount val="5"/>
                <c:pt idx="0">
                  <c:v>500</c:v>
                </c:pt>
                <c:pt idx="1">
                  <c:v>1000</c:v>
                </c:pt>
                <c:pt idx="2">
                  <c:v>1500</c:v>
                </c:pt>
                <c:pt idx="3">
                  <c:v>2000</c:v>
                </c:pt>
                <c:pt idx="4">
                  <c:v>2250</c:v>
                </c:pt>
              </c:numCache>
            </c:numRef>
          </c:xVal>
          <c:yVal>
            <c:numRef>
              <c:f>'Cost Curves S-PSH'!$Y$5:$Y$9</c:f>
              <c:numCache>
                <c:formatCode>General</c:formatCode>
                <c:ptCount val="5"/>
                <c:pt idx="0">
                  <c:v>68</c:v>
                </c:pt>
                <c:pt idx="1">
                  <c:v>74</c:v>
                </c:pt>
                <c:pt idx="2">
                  <c:v>80</c:v>
                </c:pt>
                <c:pt idx="3">
                  <c:v>87</c:v>
                </c:pt>
                <c:pt idx="4">
                  <c:v>90</c:v>
                </c:pt>
              </c:numCache>
            </c:numRef>
          </c:yVal>
          <c:smooth val="0"/>
          <c:extLst>
            <c:ext xmlns:c16="http://schemas.microsoft.com/office/drawing/2014/chart" uri="{C3380CC4-5D6E-409C-BE32-E72D297353CC}">
              <c16:uniqueId val="{00000007-6C8E-7940-86D3-A5D1B47D059E}"/>
            </c:ext>
          </c:extLst>
        </c:ser>
        <c:ser>
          <c:idx val="4"/>
          <c:order val="4"/>
          <c:tx>
            <c:strRef>
              <c:f>'Cost Curves S-PSH'!$Z$2:$Z$3</c:f>
              <c:strCache>
                <c:ptCount val="2"/>
                <c:pt idx="0">
                  <c:v>$/kW Adverse Conditions</c:v>
                </c:pt>
                <c:pt idx="1">
                  <c:v>160 MW</c:v>
                </c:pt>
              </c:strCache>
            </c:strRef>
          </c:tx>
          <c:spPr>
            <a:ln w="25400" cap="rnd">
              <a:no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poly"/>
            <c:order val="2"/>
            <c:dispRSqr val="0"/>
            <c:dispEq val="1"/>
            <c:trendlineLbl>
              <c:layout>
                <c:manualLayout>
                  <c:x val="-0.2485189437614628"/>
                  <c:y val="-3.6904338776869758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S-PSH'!$U$5:$U$9</c:f>
              <c:numCache>
                <c:formatCode>General</c:formatCode>
                <c:ptCount val="5"/>
                <c:pt idx="0">
                  <c:v>500</c:v>
                </c:pt>
                <c:pt idx="1">
                  <c:v>1000</c:v>
                </c:pt>
                <c:pt idx="2">
                  <c:v>1500</c:v>
                </c:pt>
                <c:pt idx="3">
                  <c:v>2000</c:v>
                </c:pt>
                <c:pt idx="4">
                  <c:v>2250</c:v>
                </c:pt>
              </c:numCache>
            </c:numRef>
          </c:xVal>
          <c:yVal>
            <c:numRef>
              <c:f>'Cost Curves S-PSH'!$Z$5:$Z$9</c:f>
              <c:numCache>
                <c:formatCode>General</c:formatCode>
                <c:ptCount val="5"/>
                <c:pt idx="0">
                  <c:v>113.5</c:v>
                </c:pt>
                <c:pt idx="1">
                  <c:v>118</c:v>
                </c:pt>
                <c:pt idx="2">
                  <c:v>125</c:v>
                </c:pt>
                <c:pt idx="3">
                  <c:v>134</c:v>
                </c:pt>
                <c:pt idx="4">
                  <c:v>137</c:v>
                </c:pt>
              </c:numCache>
            </c:numRef>
          </c:yVal>
          <c:smooth val="0"/>
          <c:extLst>
            <c:ext xmlns:c16="http://schemas.microsoft.com/office/drawing/2014/chart" uri="{C3380CC4-5D6E-409C-BE32-E72D297353CC}">
              <c16:uniqueId val="{00000009-6C8E-7940-86D3-A5D1B47D059E}"/>
            </c:ext>
          </c:extLst>
        </c:ser>
        <c:ser>
          <c:idx val="5"/>
          <c:order val="5"/>
          <c:tx>
            <c:strRef>
              <c:f>'Cost Curves S-PSH'!$AA$2:$AA$3</c:f>
              <c:strCache>
                <c:ptCount val="2"/>
                <c:pt idx="0">
                  <c:v>$/kW Adverse Conditions</c:v>
                </c:pt>
                <c:pt idx="1">
                  <c:v>240 MW</c:v>
                </c:pt>
              </c:strCache>
            </c:strRef>
          </c:tx>
          <c:spPr>
            <a:ln w="25400" cap="rnd">
              <a:no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poly"/>
            <c:order val="2"/>
            <c:dispRSqr val="0"/>
            <c:dispEq val="1"/>
            <c:trendlineLbl>
              <c:layout>
                <c:manualLayout>
                  <c:x val="-0.2485189437614628"/>
                  <c:y val="-5.67452045218778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S-PSH'!$U$5:$U$9</c:f>
              <c:numCache>
                <c:formatCode>General</c:formatCode>
                <c:ptCount val="5"/>
                <c:pt idx="0">
                  <c:v>500</c:v>
                </c:pt>
                <c:pt idx="1">
                  <c:v>1000</c:v>
                </c:pt>
                <c:pt idx="2">
                  <c:v>1500</c:v>
                </c:pt>
                <c:pt idx="3">
                  <c:v>2000</c:v>
                </c:pt>
                <c:pt idx="4">
                  <c:v>2250</c:v>
                </c:pt>
              </c:numCache>
            </c:numRef>
          </c:xVal>
          <c:yVal>
            <c:numRef>
              <c:f>'Cost Curves S-PSH'!$AA$5:$AA$9</c:f>
              <c:numCache>
                <c:formatCode>General</c:formatCode>
                <c:ptCount val="5"/>
                <c:pt idx="0">
                  <c:v>96</c:v>
                </c:pt>
                <c:pt idx="1">
                  <c:v>102</c:v>
                </c:pt>
                <c:pt idx="2">
                  <c:v>108</c:v>
                </c:pt>
                <c:pt idx="3">
                  <c:v>116</c:v>
                </c:pt>
                <c:pt idx="4">
                  <c:v>119</c:v>
                </c:pt>
              </c:numCache>
            </c:numRef>
          </c:yVal>
          <c:smooth val="0"/>
          <c:extLst>
            <c:ext xmlns:c16="http://schemas.microsoft.com/office/drawing/2014/chart" uri="{C3380CC4-5D6E-409C-BE32-E72D297353CC}">
              <c16:uniqueId val="{0000000B-6C8E-7940-86D3-A5D1B47D059E}"/>
            </c:ext>
          </c:extLst>
        </c:ser>
        <c:ser>
          <c:idx val="6"/>
          <c:order val="6"/>
          <c:tx>
            <c:strRef>
              <c:f>'Cost Curves S-PSH'!$AB$2:$AB$3</c:f>
              <c:strCache>
                <c:ptCount val="2"/>
                <c:pt idx="0">
                  <c:v>$/kW Adverse Conditions</c:v>
                </c:pt>
                <c:pt idx="1">
                  <c:v>320 MW</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trendline>
            <c:spPr>
              <a:ln w="19050" cap="rnd">
                <a:solidFill>
                  <a:schemeClr val="accent1">
                    <a:lumMod val="60000"/>
                  </a:schemeClr>
                </a:solidFill>
                <a:prstDash val="sysDot"/>
              </a:ln>
              <a:effectLst/>
            </c:spPr>
            <c:trendlineType val="poly"/>
            <c:order val="2"/>
            <c:dispRSqr val="0"/>
            <c:dispEq val="1"/>
            <c:trendlineLbl>
              <c:layout>
                <c:manualLayout>
                  <c:x val="-0.24594178212147888"/>
                  <c:y val="-5.8293219088489605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S-PSH'!$U$5:$U$9</c:f>
              <c:numCache>
                <c:formatCode>General</c:formatCode>
                <c:ptCount val="5"/>
                <c:pt idx="0">
                  <c:v>500</c:v>
                </c:pt>
                <c:pt idx="1">
                  <c:v>1000</c:v>
                </c:pt>
                <c:pt idx="2">
                  <c:v>1500</c:v>
                </c:pt>
                <c:pt idx="3">
                  <c:v>2000</c:v>
                </c:pt>
                <c:pt idx="4">
                  <c:v>2250</c:v>
                </c:pt>
              </c:numCache>
            </c:numRef>
          </c:xVal>
          <c:yVal>
            <c:numRef>
              <c:f>'Cost Curves S-PSH'!$AB$5:$AB$9</c:f>
              <c:numCache>
                <c:formatCode>General</c:formatCode>
                <c:ptCount val="5"/>
                <c:pt idx="0">
                  <c:v>89</c:v>
                </c:pt>
                <c:pt idx="1">
                  <c:v>93</c:v>
                </c:pt>
                <c:pt idx="2">
                  <c:v>100</c:v>
                </c:pt>
                <c:pt idx="3">
                  <c:v>106</c:v>
                </c:pt>
                <c:pt idx="4">
                  <c:v>109.5</c:v>
                </c:pt>
              </c:numCache>
            </c:numRef>
          </c:yVal>
          <c:smooth val="0"/>
          <c:extLst>
            <c:ext xmlns:c16="http://schemas.microsoft.com/office/drawing/2014/chart" uri="{C3380CC4-5D6E-409C-BE32-E72D297353CC}">
              <c16:uniqueId val="{0000000D-6C8E-7940-86D3-A5D1B47D059E}"/>
            </c:ext>
          </c:extLst>
        </c:ser>
        <c:ser>
          <c:idx val="7"/>
          <c:order val="7"/>
          <c:tx>
            <c:strRef>
              <c:f>'Cost Curves S-PSH'!$AC$2:$AC$3</c:f>
              <c:strCache>
                <c:ptCount val="2"/>
                <c:pt idx="0">
                  <c:v>$/kW Adverse Conditions</c:v>
                </c:pt>
                <c:pt idx="1">
                  <c:v>480 MW</c:v>
                </c:pt>
              </c:strCache>
            </c:strRef>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trendline>
            <c:spPr>
              <a:ln w="19050" cap="rnd">
                <a:solidFill>
                  <a:schemeClr val="accent2">
                    <a:lumMod val="60000"/>
                  </a:schemeClr>
                </a:solidFill>
                <a:prstDash val="sysDot"/>
              </a:ln>
              <a:effectLst/>
            </c:spPr>
            <c:trendlineType val="poly"/>
            <c:order val="2"/>
            <c:dispRSqr val="0"/>
            <c:dispEq val="1"/>
            <c:trendlineLbl>
              <c:layout>
                <c:manualLayout>
                  <c:x val="-0.2414189649063638"/>
                  <c:y val="-5.475454812428266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S-PSH'!$U$5:$U$9</c:f>
              <c:numCache>
                <c:formatCode>General</c:formatCode>
                <c:ptCount val="5"/>
                <c:pt idx="0">
                  <c:v>500</c:v>
                </c:pt>
                <c:pt idx="1">
                  <c:v>1000</c:v>
                </c:pt>
                <c:pt idx="2">
                  <c:v>1500</c:v>
                </c:pt>
                <c:pt idx="3">
                  <c:v>2000</c:v>
                </c:pt>
                <c:pt idx="4">
                  <c:v>2250</c:v>
                </c:pt>
              </c:numCache>
            </c:numRef>
          </c:xVal>
          <c:yVal>
            <c:numRef>
              <c:f>'Cost Curves S-PSH'!$AC$5:$AC$9</c:f>
              <c:numCache>
                <c:formatCode>General</c:formatCode>
                <c:ptCount val="5"/>
                <c:pt idx="0">
                  <c:v>79.5</c:v>
                </c:pt>
                <c:pt idx="1">
                  <c:v>85</c:v>
                </c:pt>
                <c:pt idx="2">
                  <c:v>91.5</c:v>
                </c:pt>
                <c:pt idx="3">
                  <c:v>98</c:v>
                </c:pt>
                <c:pt idx="4">
                  <c:v>100</c:v>
                </c:pt>
              </c:numCache>
            </c:numRef>
          </c:yVal>
          <c:smooth val="0"/>
          <c:extLst>
            <c:ext xmlns:c16="http://schemas.microsoft.com/office/drawing/2014/chart" uri="{C3380CC4-5D6E-409C-BE32-E72D297353CC}">
              <c16:uniqueId val="{0000000F-6C8E-7940-86D3-A5D1B47D059E}"/>
            </c:ext>
          </c:extLst>
        </c:ser>
        <c:dLbls>
          <c:showLegendKey val="0"/>
          <c:showVal val="0"/>
          <c:showCatName val="0"/>
          <c:showSerName val="0"/>
          <c:showPercent val="0"/>
          <c:showBubbleSize val="0"/>
        </c:dLbls>
        <c:axId val="1875475503"/>
        <c:axId val="1887612559"/>
      </c:scatterChart>
      <c:valAx>
        <c:axId val="18754755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7612559"/>
        <c:crosses val="autoZero"/>
        <c:crossBetween val="midCat"/>
      </c:valAx>
      <c:valAx>
        <c:axId val="18876125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54755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Surface Powestation Structure Cost $/kW</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700948211793134"/>
          <c:y val="7.5661597052840229E-2"/>
          <c:w val="0.83087598845144439"/>
          <c:h val="0.50650638366565437"/>
        </c:manualLayout>
      </c:layout>
      <c:scatterChart>
        <c:scatterStyle val="lineMarker"/>
        <c:varyColors val="0"/>
        <c:ser>
          <c:idx val="0"/>
          <c:order val="0"/>
          <c:tx>
            <c:strRef>
              <c:f>'Cost Curves S-PSH'!$AF$2:$AF$3</c:f>
              <c:strCache>
                <c:ptCount val="2"/>
                <c:pt idx="0">
                  <c:v>$/kW Average Conditions</c:v>
                </c:pt>
                <c:pt idx="1">
                  <c:v>700 MW</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olid"/>
              </a:ln>
              <a:effectLst/>
            </c:spPr>
            <c:trendlineType val="poly"/>
            <c:order val="2"/>
            <c:dispRSqr val="0"/>
            <c:dispEq val="1"/>
            <c:trendlineLbl>
              <c:layout>
                <c:manualLayout>
                  <c:x val="-0.34456718996586982"/>
                  <c:y val="5.3651944717935593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S-PSH'!$AE$4:$AE$9</c:f>
              <c:numCache>
                <c:formatCode>General</c:formatCode>
                <c:ptCount val="6"/>
                <c:pt idx="0">
                  <c:v>350</c:v>
                </c:pt>
                <c:pt idx="1">
                  <c:v>500</c:v>
                </c:pt>
                <c:pt idx="2">
                  <c:v>1000</c:v>
                </c:pt>
                <c:pt idx="3">
                  <c:v>1500</c:v>
                </c:pt>
                <c:pt idx="4">
                  <c:v>2000</c:v>
                </c:pt>
                <c:pt idx="5">
                  <c:v>2250</c:v>
                </c:pt>
              </c:numCache>
            </c:numRef>
          </c:xVal>
          <c:yVal>
            <c:numRef>
              <c:f>'Cost Curves S-PSH'!$AF$4:$AF$9</c:f>
              <c:numCache>
                <c:formatCode>General</c:formatCode>
                <c:ptCount val="6"/>
                <c:pt idx="0">
                  <c:v>38</c:v>
                </c:pt>
                <c:pt idx="1">
                  <c:v>36</c:v>
                </c:pt>
                <c:pt idx="2">
                  <c:v>31</c:v>
                </c:pt>
                <c:pt idx="3">
                  <c:v>30</c:v>
                </c:pt>
                <c:pt idx="4">
                  <c:v>32</c:v>
                </c:pt>
                <c:pt idx="5">
                  <c:v>33</c:v>
                </c:pt>
              </c:numCache>
            </c:numRef>
          </c:yVal>
          <c:smooth val="0"/>
          <c:extLst>
            <c:ext xmlns:c16="http://schemas.microsoft.com/office/drawing/2014/chart" uri="{C3380CC4-5D6E-409C-BE32-E72D297353CC}">
              <c16:uniqueId val="{00000001-BE8E-8349-A9F3-E0A2358573F9}"/>
            </c:ext>
          </c:extLst>
        </c:ser>
        <c:ser>
          <c:idx val="1"/>
          <c:order val="1"/>
          <c:tx>
            <c:strRef>
              <c:f>'Cost Curves S-PSH'!$AG$2:$AG$3</c:f>
              <c:strCache>
                <c:ptCount val="2"/>
                <c:pt idx="0">
                  <c:v>$/kW Average Conditions</c:v>
                </c:pt>
                <c:pt idx="1">
                  <c:v>1050 MW</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olid"/>
              </a:ln>
              <a:effectLst/>
            </c:spPr>
            <c:trendlineType val="poly"/>
            <c:order val="2"/>
            <c:dispRSqr val="0"/>
            <c:dispEq val="1"/>
            <c:trendlineLbl>
              <c:layout>
                <c:manualLayout>
                  <c:x val="-0.34199002780291243"/>
                  <c:y val="6.725765782470508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S-PSH'!$AE$4:$AE$9</c:f>
              <c:numCache>
                <c:formatCode>General</c:formatCode>
                <c:ptCount val="6"/>
                <c:pt idx="0">
                  <c:v>350</c:v>
                </c:pt>
                <c:pt idx="1">
                  <c:v>500</c:v>
                </c:pt>
                <c:pt idx="2">
                  <c:v>1000</c:v>
                </c:pt>
                <c:pt idx="3">
                  <c:v>1500</c:v>
                </c:pt>
                <c:pt idx="4">
                  <c:v>2000</c:v>
                </c:pt>
                <c:pt idx="5">
                  <c:v>2250</c:v>
                </c:pt>
              </c:numCache>
            </c:numRef>
          </c:xVal>
          <c:yVal>
            <c:numRef>
              <c:f>'Cost Curves S-PSH'!$AG$4:$AG$9</c:f>
              <c:numCache>
                <c:formatCode>General</c:formatCode>
                <c:ptCount val="6"/>
                <c:pt idx="0">
                  <c:v>35</c:v>
                </c:pt>
                <c:pt idx="1">
                  <c:v>34</c:v>
                </c:pt>
                <c:pt idx="2">
                  <c:v>28</c:v>
                </c:pt>
                <c:pt idx="3">
                  <c:v>27</c:v>
                </c:pt>
                <c:pt idx="4">
                  <c:v>30</c:v>
                </c:pt>
                <c:pt idx="5">
                  <c:v>31</c:v>
                </c:pt>
              </c:numCache>
            </c:numRef>
          </c:yVal>
          <c:smooth val="0"/>
          <c:extLst>
            <c:ext xmlns:c16="http://schemas.microsoft.com/office/drawing/2014/chart" uri="{C3380CC4-5D6E-409C-BE32-E72D297353CC}">
              <c16:uniqueId val="{00000003-BE8E-8349-A9F3-E0A2358573F9}"/>
            </c:ext>
          </c:extLst>
        </c:ser>
        <c:ser>
          <c:idx val="2"/>
          <c:order val="2"/>
          <c:tx>
            <c:strRef>
              <c:f>'Cost Curves S-PSH'!$AH$2:$AH$3</c:f>
              <c:strCache>
                <c:ptCount val="2"/>
                <c:pt idx="0">
                  <c:v>$/kW Average Conditions</c:v>
                </c:pt>
                <c:pt idx="1">
                  <c:v>1400 MW</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olid"/>
              </a:ln>
              <a:effectLst/>
            </c:spPr>
            <c:trendlineType val="poly"/>
            <c:order val="2"/>
            <c:dispRSqr val="0"/>
            <c:dispEq val="1"/>
            <c:trendlineLbl>
              <c:layout>
                <c:manualLayout>
                  <c:x val="-0.34199002780291243"/>
                  <c:y val="8.335972123925006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S-PSH'!$AE$4:$AE$9</c:f>
              <c:numCache>
                <c:formatCode>General</c:formatCode>
                <c:ptCount val="6"/>
                <c:pt idx="0">
                  <c:v>350</c:v>
                </c:pt>
                <c:pt idx="1">
                  <c:v>500</c:v>
                </c:pt>
                <c:pt idx="2">
                  <c:v>1000</c:v>
                </c:pt>
                <c:pt idx="3">
                  <c:v>1500</c:v>
                </c:pt>
                <c:pt idx="4">
                  <c:v>2000</c:v>
                </c:pt>
                <c:pt idx="5">
                  <c:v>2250</c:v>
                </c:pt>
              </c:numCache>
            </c:numRef>
          </c:xVal>
          <c:yVal>
            <c:numRef>
              <c:f>'Cost Curves S-PSH'!$AH$4:$AH$9</c:f>
              <c:numCache>
                <c:formatCode>General</c:formatCode>
                <c:ptCount val="6"/>
                <c:pt idx="0">
                  <c:v>32</c:v>
                </c:pt>
                <c:pt idx="1">
                  <c:v>30</c:v>
                </c:pt>
                <c:pt idx="2">
                  <c:v>26</c:v>
                </c:pt>
                <c:pt idx="3">
                  <c:v>26</c:v>
                </c:pt>
                <c:pt idx="4">
                  <c:v>29</c:v>
                </c:pt>
                <c:pt idx="5">
                  <c:v>30</c:v>
                </c:pt>
              </c:numCache>
            </c:numRef>
          </c:yVal>
          <c:smooth val="0"/>
          <c:extLst>
            <c:ext xmlns:c16="http://schemas.microsoft.com/office/drawing/2014/chart" uri="{C3380CC4-5D6E-409C-BE32-E72D297353CC}">
              <c16:uniqueId val="{00000005-BE8E-8349-A9F3-E0A2358573F9}"/>
            </c:ext>
          </c:extLst>
        </c:ser>
        <c:ser>
          <c:idx val="3"/>
          <c:order val="3"/>
          <c:tx>
            <c:strRef>
              <c:f>'Cost Curves S-PSH'!$AI$2:$AI$3</c:f>
              <c:strCache>
                <c:ptCount val="2"/>
                <c:pt idx="0">
                  <c:v>$/kW Average Conditions</c:v>
                </c:pt>
                <c:pt idx="1">
                  <c:v>2100 MW</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olid"/>
              </a:ln>
              <a:effectLst/>
            </c:spPr>
            <c:trendlineType val="poly"/>
            <c:order val="2"/>
            <c:dispRSqr val="0"/>
            <c:dispEq val="1"/>
            <c:trendlineLbl>
              <c:layout>
                <c:manualLayout>
                  <c:x val="-0.34199002780291243"/>
                  <c:y val="9.5539181633234008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S-PSH'!$AE$4:$AE$9</c:f>
              <c:numCache>
                <c:formatCode>General</c:formatCode>
                <c:ptCount val="6"/>
                <c:pt idx="0">
                  <c:v>350</c:v>
                </c:pt>
                <c:pt idx="1">
                  <c:v>500</c:v>
                </c:pt>
                <c:pt idx="2">
                  <c:v>1000</c:v>
                </c:pt>
                <c:pt idx="3">
                  <c:v>1500</c:v>
                </c:pt>
                <c:pt idx="4">
                  <c:v>2000</c:v>
                </c:pt>
                <c:pt idx="5">
                  <c:v>2250</c:v>
                </c:pt>
              </c:numCache>
            </c:numRef>
          </c:xVal>
          <c:yVal>
            <c:numRef>
              <c:f>'Cost Curves S-PSH'!$AI$4:$AI$9</c:f>
              <c:numCache>
                <c:formatCode>General</c:formatCode>
                <c:ptCount val="6"/>
                <c:pt idx="0">
                  <c:v>30</c:v>
                </c:pt>
                <c:pt idx="1">
                  <c:v>28</c:v>
                </c:pt>
                <c:pt idx="2">
                  <c:v>25</c:v>
                </c:pt>
                <c:pt idx="3">
                  <c:v>25.25</c:v>
                </c:pt>
                <c:pt idx="4">
                  <c:v>26</c:v>
                </c:pt>
                <c:pt idx="5">
                  <c:v>28</c:v>
                </c:pt>
              </c:numCache>
            </c:numRef>
          </c:yVal>
          <c:smooth val="0"/>
          <c:extLst>
            <c:ext xmlns:c16="http://schemas.microsoft.com/office/drawing/2014/chart" uri="{C3380CC4-5D6E-409C-BE32-E72D297353CC}">
              <c16:uniqueId val="{00000007-BE8E-8349-A9F3-E0A2358573F9}"/>
            </c:ext>
          </c:extLst>
        </c:ser>
        <c:ser>
          <c:idx val="4"/>
          <c:order val="4"/>
          <c:tx>
            <c:strRef>
              <c:f>'Cost Curves S-PSH'!$AJ$2:$AJ$3</c:f>
              <c:strCache>
                <c:ptCount val="2"/>
                <c:pt idx="0">
                  <c:v>$/kW Adverse Conditions</c:v>
                </c:pt>
                <c:pt idx="1">
                  <c:v>700 MW</c:v>
                </c:pt>
              </c:strCache>
            </c:strRef>
          </c:tx>
          <c:spPr>
            <a:ln w="25400" cap="rnd">
              <a:no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poly"/>
            <c:order val="2"/>
            <c:dispRSqr val="0"/>
            <c:dispEq val="1"/>
            <c:trendlineLbl>
              <c:layout>
                <c:manualLayout>
                  <c:x val="-0.12808556827744713"/>
                  <c:y val="-8.604688059042749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S-PSH'!$AE$4:$AE$9</c:f>
              <c:numCache>
                <c:formatCode>General</c:formatCode>
                <c:ptCount val="6"/>
                <c:pt idx="0">
                  <c:v>350</c:v>
                </c:pt>
                <c:pt idx="1">
                  <c:v>500</c:v>
                </c:pt>
                <c:pt idx="2">
                  <c:v>1000</c:v>
                </c:pt>
                <c:pt idx="3">
                  <c:v>1500</c:v>
                </c:pt>
                <c:pt idx="4">
                  <c:v>2000</c:v>
                </c:pt>
                <c:pt idx="5">
                  <c:v>2250</c:v>
                </c:pt>
              </c:numCache>
            </c:numRef>
          </c:xVal>
          <c:yVal>
            <c:numRef>
              <c:f>'Cost Curves S-PSH'!$AJ$4:$AJ$9</c:f>
              <c:numCache>
                <c:formatCode>General</c:formatCode>
                <c:ptCount val="6"/>
                <c:pt idx="0">
                  <c:v>58</c:v>
                </c:pt>
                <c:pt idx="1">
                  <c:v>54</c:v>
                </c:pt>
                <c:pt idx="2">
                  <c:v>45</c:v>
                </c:pt>
                <c:pt idx="3">
                  <c:v>44.5</c:v>
                </c:pt>
                <c:pt idx="4">
                  <c:v>46</c:v>
                </c:pt>
                <c:pt idx="5">
                  <c:v>48</c:v>
                </c:pt>
              </c:numCache>
            </c:numRef>
          </c:yVal>
          <c:smooth val="0"/>
          <c:extLst>
            <c:ext xmlns:c16="http://schemas.microsoft.com/office/drawing/2014/chart" uri="{C3380CC4-5D6E-409C-BE32-E72D297353CC}">
              <c16:uniqueId val="{00000009-BE8E-8349-A9F3-E0A2358573F9}"/>
            </c:ext>
          </c:extLst>
        </c:ser>
        <c:ser>
          <c:idx val="5"/>
          <c:order val="5"/>
          <c:tx>
            <c:strRef>
              <c:f>'Cost Curves S-PSH'!$AK$2:$AK$3</c:f>
              <c:strCache>
                <c:ptCount val="2"/>
                <c:pt idx="0">
                  <c:v>$/kW Adverse Conditions</c:v>
                </c:pt>
                <c:pt idx="1">
                  <c:v>1050 MW</c:v>
                </c:pt>
              </c:strCache>
            </c:strRef>
          </c:tx>
          <c:spPr>
            <a:ln w="25400" cap="rnd">
              <a:no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poly"/>
            <c:order val="2"/>
            <c:dispRSqr val="0"/>
            <c:dispEq val="1"/>
            <c:trendlineLbl>
              <c:layout>
                <c:manualLayout>
                  <c:x val="-0.13066273044040455"/>
                  <c:y val="-8.845247826507081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S-PSH'!$AE$4:$AE$9</c:f>
              <c:numCache>
                <c:formatCode>General</c:formatCode>
                <c:ptCount val="6"/>
                <c:pt idx="0">
                  <c:v>350</c:v>
                </c:pt>
                <c:pt idx="1">
                  <c:v>500</c:v>
                </c:pt>
                <c:pt idx="2">
                  <c:v>1000</c:v>
                </c:pt>
                <c:pt idx="3">
                  <c:v>1500</c:v>
                </c:pt>
                <c:pt idx="4">
                  <c:v>2000</c:v>
                </c:pt>
                <c:pt idx="5">
                  <c:v>2250</c:v>
                </c:pt>
              </c:numCache>
            </c:numRef>
          </c:xVal>
          <c:yVal>
            <c:numRef>
              <c:f>'Cost Curves S-PSH'!$AK$4:$AK$9</c:f>
              <c:numCache>
                <c:formatCode>General</c:formatCode>
                <c:ptCount val="6"/>
                <c:pt idx="0">
                  <c:v>48.5</c:v>
                </c:pt>
                <c:pt idx="1">
                  <c:v>45</c:v>
                </c:pt>
                <c:pt idx="2">
                  <c:v>40</c:v>
                </c:pt>
                <c:pt idx="3">
                  <c:v>39</c:v>
                </c:pt>
                <c:pt idx="4">
                  <c:v>41</c:v>
                </c:pt>
                <c:pt idx="5">
                  <c:v>42</c:v>
                </c:pt>
              </c:numCache>
            </c:numRef>
          </c:yVal>
          <c:smooth val="0"/>
          <c:extLst>
            <c:ext xmlns:c16="http://schemas.microsoft.com/office/drawing/2014/chart" uri="{C3380CC4-5D6E-409C-BE32-E72D297353CC}">
              <c16:uniqueId val="{0000000B-BE8E-8349-A9F3-E0A2358573F9}"/>
            </c:ext>
          </c:extLst>
        </c:ser>
        <c:ser>
          <c:idx val="6"/>
          <c:order val="6"/>
          <c:tx>
            <c:strRef>
              <c:f>'Cost Curves S-PSH'!$AL$2:$AL$3</c:f>
              <c:strCache>
                <c:ptCount val="2"/>
                <c:pt idx="0">
                  <c:v>$/kW Adverse Conditions</c:v>
                </c:pt>
                <c:pt idx="1">
                  <c:v>1400 MW</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trendline>
            <c:spPr>
              <a:ln w="19050" cap="rnd">
                <a:solidFill>
                  <a:schemeClr val="accent1">
                    <a:lumMod val="60000"/>
                  </a:schemeClr>
                </a:solidFill>
                <a:prstDash val="sysDot"/>
              </a:ln>
              <a:effectLst/>
            </c:spPr>
            <c:trendlineType val="poly"/>
            <c:order val="2"/>
            <c:dispRSqr val="0"/>
            <c:dispEq val="1"/>
            <c:trendlineLbl>
              <c:layout>
                <c:manualLayout>
                  <c:x val="-0.12293124395153231"/>
                  <c:y val="-7.4554104238866159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S-PSH'!$AE$4:$AE$9</c:f>
              <c:numCache>
                <c:formatCode>General</c:formatCode>
                <c:ptCount val="6"/>
                <c:pt idx="0">
                  <c:v>350</c:v>
                </c:pt>
                <c:pt idx="1">
                  <c:v>500</c:v>
                </c:pt>
                <c:pt idx="2">
                  <c:v>1000</c:v>
                </c:pt>
                <c:pt idx="3">
                  <c:v>1500</c:v>
                </c:pt>
                <c:pt idx="4">
                  <c:v>2000</c:v>
                </c:pt>
                <c:pt idx="5">
                  <c:v>2250</c:v>
                </c:pt>
              </c:numCache>
            </c:numRef>
          </c:xVal>
          <c:yVal>
            <c:numRef>
              <c:f>'Cost Curves S-PSH'!$AL$4:$AL$9</c:f>
              <c:numCache>
                <c:formatCode>General</c:formatCode>
                <c:ptCount val="6"/>
                <c:pt idx="0">
                  <c:v>45</c:v>
                </c:pt>
                <c:pt idx="1">
                  <c:v>42</c:v>
                </c:pt>
                <c:pt idx="2">
                  <c:v>37</c:v>
                </c:pt>
                <c:pt idx="3">
                  <c:v>36</c:v>
                </c:pt>
                <c:pt idx="4">
                  <c:v>38</c:v>
                </c:pt>
                <c:pt idx="5">
                  <c:v>39.5</c:v>
                </c:pt>
              </c:numCache>
            </c:numRef>
          </c:yVal>
          <c:smooth val="0"/>
          <c:extLst>
            <c:ext xmlns:c16="http://schemas.microsoft.com/office/drawing/2014/chart" uri="{C3380CC4-5D6E-409C-BE32-E72D297353CC}">
              <c16:uniqueId val="{0000000D-BE8E-8349-A9F3-E0A2358573F9}"/>
            </c:ext>
          </c:extLst>
        </c:ser>
        <c:ser>
          <c:idx val="7"/>
          <c:order val="7"/>
          <c:tx>
            <c:strRef>
              <c:f>'Cost Curves S-PSH'!$AM$2:$AM$3</c:f>
              <c:strCache>
                <c:ptCount val="2"/>
                <c:pt idx="0">
                  <c:v>$/kW Adverse Conditions</c:v>
                </c:pt>
                <c:pt idx="1">
                  <c:v>2100 MW</c:v>
                </c:pt>
              </c:strCache>
            </c:strRef>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trendline>
            <c:spPr>
              <a:ln w="19050" cap="rnd">
                <a:solidFill>
                  <a:schemeClr val="accent2">
                    <a:lumMod val="60000"/>
                  </a:schemeClr>
                </a:solidFill>
                <a:prstDash val="sysDot"/>
              </a:ln>
              <a:effectLst/>
            </c:spPr>
            <c:trendlineType val="poly"/>
            <c:order val="2"/>
            <c:dispRSqr val="0"/>
            <c:dispEq val="1"/>
            <c:trendlineLbl>
              <c:layout>
                <c:manualLayout>
                  <c:x val="-0.12808556827744713"/>
                  <c:y val="-7.2497643043125129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S-PSH'!$AE$4:$AE$9</c:f>
              <c:numCache>
                <c:formatCode>General</c:formatCode>
                <c:ptCount val="6"/>
                <c:pt idx="0">
                  <c:v>350</c:v>
                </c:pt>
                <c:pt idx="1">
                  <c:v>500</c:v>
                </c:pt>
                <c:pt idx="2">
                  <c:v>1000</c:v>
                </c:pt>
                <c:pt idx="3">
                  <c:v>1500</c:v>
                </c:pt>
                <c:pt idx="4">
                  <c:v>2000</c:v>
                </c:pt>
                <c:pt idx="5">
                  <c:v>2250</c:v>
                </c:pt>
              </c:numCache>
            </c:numRef>
          </c:xVal>
          <c:yVal>
            <c:numRef>
              <c:f>'Cost Curves S-PSH'!$AM$4:$AM$9</c:f>
              <c:numCache>
                <c:formatCode>General</c:formatCode>
                <c:ptCount val="6"/>
                <c:pt idx="0">
                  <c:v>39</c:v>
                </c:pt>
                <c:pt idx="1">
                  <c:v>37</c:v>
                </c:pt>
                <c:pt idx="2">
                  <c:v>34</c:v>
                </c:pt>
                <c:pt idx="3">
                  <c:v>32</c:v>
                </c:pt>
                <c:pt idx="4">
                  <c:v>34</c:v>
                </c:pt>
                <c:pt idx="5">
                  <c:v>35</c:v>
                </c:pt>
              </c:numCache>
            </c:numRef>
          </c:yVal>
          <c:smooth val="0"/>
          <c:extLst>
            <c:ext xmlns:c16="http://schemas.microsoft.com/office/drawing/2014/chart" uri="{C3380CC4-5D6E-409C-BE32-E72D297353CC}">
              <c16:uniqueId val="{0000000F-BE8E-8349-A9F3-E0A2358573F9}"/>
            </c:ext>
          </c:extLst>
        </c:ser>
        <c:dLbls>
          <c:showLegendKey val="0"/>
          <c:showVal val="0"/>
          <c:showCatName val="0"/>
          <c:showSerName val="0"/>
          <c:showPercent val="0"/>
          <c:showBubbleSize val="0"/>
        </c:dLbls>
        <c:axId val="1783563711"/>
        <c:axId val="1783387647"/>
      </c:scatterChart>
      <c:valAx>
        <c:axId val="178356371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Head Height in</a:t>
                </a:r>
                <a:r>
                  <a:rPr lang="en-US" baseline="0"/>
                  <a:t> ft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3387647"/>
        <c:crosses val="autoZero"/>
        <c:crossBetween val="midCat"/>
      </c:valAx>
      <c:valAx>
        <c:axId val="178338764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3563711"/>
        <c:crosses val="autoZero"/>
        <c:crossBetween val="midCat"/>
      </c:valAx>
      <c:spPr>
        <a:noFill/>
        <a:ln>
          <a:noFill/>
        </a:ln>
        <a:effectLst/>
      </c:spPr>
    </c:plotArea>
    <c:legend>
      <c:legendPos val="b"/>
      <c:layout>
        <c:manualLayout>
          <c:xMode val="edge"/>
          <c:yMode val="edge"/>
          <c:x val="0"/>
          <c:y val="0.67351467435956536"/>
          <c:w val="0.97532926600433101"/>
          <c:h val="0.3142456496545343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Underground Powestation Structure Cost $/kW</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S-PSH'!$B$44:$B$45</c:f>
              <c:strCache>
                <c:ptCount val="2"/>
                <c:pt idx="0">
                  <c:v>$/kW Average Conditions</c:v>
                </c:pt>
                <c:pt idx="1">
                  <c:v>250 MW</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olid"/>
              </a:ln>
              <a:effectLst/>
            </c:spPr>
            <c:trendlineType val="power"/>
            <c:dispRSqr val="0"/>
            <c:dispEq val="1"/>
            <c:trendlineLbl>
              <c:layout>
                <c:manualLayout>
                  <c:x val="-3.0113928720469311E-2"/>
                  <c:y val="-0.2041866398111228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S-PSH'!$A$46:$A$51</c:f>
              <c:numCache>
                <c:formatCode>General</c:formatCode>
                <c:ptCount val="6"/>
                <c:pt idx="0">
                  <c:v>350</c:v>
                </c:pt>
                <c:pt idx="1">
                  <c:v>500</c:v>
                </c:pt>
                <c:pt idx="2">
                  <c:v>1000</c:v>
                </c:pt>
                <c:pt idx="3">
                  <c:v>1500</c:v>
                </c:pt>
                <c:pt idx="4">
                  <c:v>2000</c:v>
                </c:pt>
                <c:pt idx="5">
                  <c:v>2250</c:v>
                </c:pt>
              </c:numCache>
            </c:numRef>
          </c:xVal>
          <c:yVal>
            <c:numRef>
              <c:f>'Cost Curves S-PSH'!$B$46:$B$51</c:f>
              <c:numCache>
                <c:formatCode>General</c:formatCode>
                <c:ptCount val="6"/>
                <c:pt idx="0">
                  <c:v>123</c:v>
                </c:pt>
                <c:pt idx="1">
                  <c:v>95</c:v>
                </c:pt>
                <c:pt idx="2">
                  <c:v>69</c:v>
                </c:pt>
                <c:pt idx="3">
                  <c:v>63</c:v>
                </c:pt>
                <c:pt idx="4">
                  <c:v>58</c:v>
                </c:pt>
                <c:pt idx="5">
                  <c:v>56</c:v>
                </c:pt>
              </c:numCache>
            </c:numRef>
          </c:yVal>
          <c:smooth val="0"/>
          <c:extLst>
            <c:ext xmlns:c16="http://schemas.microsoft.com/office/drawing/2014/chart" uri="{C3380CC4-5D6E-409C-BE32-E72D297353CC}">
              <c16:uniqueId val="{00000001-94A3-0346-91EA-CA089F25F012}"/>
            </c:ext>
          </c:extLst>
        </c:ser>
        <c:ser>
          <c:idx val="1"/>
          <c:order val="1"/>
          <c:tx>
            <c:strRef>
              <c:f>'Cost Curves S-PSH'!$C$44:$C$45</c:f>
              <c:strCache>
                <c:ptCount val="2"/>
                <c:pt idx="0">
                  <c:v>$/kW Average Conditions</c:v>
                </c:pt>
                <c:pt idx="1">
                  <c:v>375 MW</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olid"/>
              </a:ln>
              <a:effectLst/>
            </c:spPr>
            <c:trendlineType val="power"/>
            <c:dispRSqr val="0"/>
            <c:dispEq val="1"/>
            <c:trendlineLbl>
              <c:layout>
                <c:manualLayout>
                  <c:x val="-3.2907755112097335E-2"/>
                  <c:y val="-0.1883235018101173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S-PSH'!$A$46:$A$51</c:f>
              <c:numCache>
                <c:formatCode>General</c:formatCode>
                <c:ptCount val="6"/>
                <c:pt idx="0">
                  <c:v>350</c:v>
                </c:pt>
                <c:pt idx="1">
                  <c:v>500</c:v>
                </c:pt>
                <c:pt idx="2">
                  <c:v>1000</c:v>
                </c:pt>
                <c:pt idx="3">
                  <c:v>1500</c:v>
                </c:pt>
                <c:pt idx="4">
                  <c:v>2000</c:v>
                </c:pt>
                <c:pt idx="5">
                  <c:v>2250</c:v>
                </c:pt>
              </c:numCache>
            </c:numRef>
          </c:xVal>
          <c:yVal>
            <c:numRef>
              <c:f>'Cost Curves S-PSH'!$C$46:$C$51</c:f>
              <c:numCache>
                <c:formatCode>General</c:formatCode>
                <c:ptCount val="6"/>
                <c:pt idx="0">
                  <c:v>108</c:v>
                </c:pt>
                <c:pt idx="1">
                  <c:v>83</c:v>
                </c:pt>
                <c:pt idx="2">
                  <c:v>58</c:v>
                </c:pt>
                <c:pt idx="3">
                  <c:v>54</c:v>
                </c:pt>
                <c:pt idx="4">
                  <c:v>50</c:v>
                </c:pt>
                <c:pt idx="5">
                  <c:v>49</c:v>
                </c:pt>
              </c:numCache>
            </c:numRef>
          </c:yVal>
          <c:smooth val="0"/>
          <c:extLst>
            <c:ext xmlns:c16="http://schemas.microsoft.com/office/drawing/2014/chart" uri="{C3380CC4-5D6E-409C-BE32-E72D297353CC}">
              <c16:uniqueId val="{00000003-94A3-0346-91EA-CA089F25F012}"/>
            </c:ext>
          </c:extLst>
        </c:ser>
        <c:ser>
          <c:idx val="2"/>
          <c:order val="2"/>
          <c:tx>
            <c:strRef>
              <c:f>'Cost Curves S-PSH'!$D$44:$D$45</c:f>
              <c:strCache>
                <c:ptCount val="2"/>
                <c:pt idx="0">
                  <c:v>$/kW Average Conditions</c:v>
                </c:pt>
                <c:pt idx="1">
                  <c:v>500 MW</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olid"/>
              </a:ln>
              <a:effectLst/>
            </c:spPr>
            <c:trendlineType val="power"/>
            <c:dispRSqr val="0"/>
            <c:dispEq val="1"/>
            <c:trendlineLbl>
              <c:layout>
                <c:manualLayout>
                  <c:x val="-3.5701581503725356E-2"/>
                  <c:y val="-0.1780449599382224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S-PSH'!$A$46:$A$51</c:f>
              <c:numCache>
                <c:formatCode>General</c:formatCode>
                <c:ptCount val="6"/>
                <c:pt idx="0">
                  <c:v>350</c:v>
                </c:pt>
                <c:pt idx="1">
                  <c:v>500</c:v>
                </c:pt>
                <c:pt idx="2">
                  <c:v>1000</c:v>
                </c:pt>
                <c:pt idx="3">
                  <c:v>1500</c:v>
                </c:pt>
                <c:pt idx="4">
                  <c:v>2000</c:v>
                </c:pt>
                <c:pt idx="5">
                  <c:v>2250</c:v>
                </c:pt>
              </c:numCache>
            </c:numRef>
          </c:xVal>
          <c:yVal>
            <c:numRef>
              <c:f>'Cost Curves S-PSH'!$D$46:$D$51</c:f>
              <c:numCache>
                <c:formatCode>General</c:formatCode>
                <c:ptCount val="6"/>
                <c:pt idx="0">
                  <c:v>97</c:v>
                </c:pt>
                <c:pt idx="1">
                  <c:v>75</c:v>
                </c:pt>
                <c:pt idx="2">
                  <c:v>52</c:v>
                </c:pt>
                <c:pt idx="3">
                  <c:v>46</c:v>
                </c:pt>
                <c:pt idx="4">
                  <c:v>44</c:v>
                </c:pt>
                <c:pt idx="5">
                  <c:v>43</c:v>
                </c:pt>
              </c:numCache>
            </c:numRef>
          </c:yVal>
          <c:smooth val="0"/>
          <c:extLst>
            <c:ext xmlns:c16="http://schemas.microsoft.com/office/drawing/2014/chart" uri="{C3380CC4-5D6E-409C-BE32-E72D297353CC}">
              <c16:uniqueId val="{00000005-94A3-0346-91EA-CA089F25F012}"/>
            </c:ext>
          </c:extLst>
        </c:ser>
        <c:ser>
          <c:idx val="3"/>
          <c:order val="3"/>
          <c:tx>
            <c:strRef>
              <c:f>'Cost Curves S-PSH'!$E$44:$E$45</c:f>
              <c:strCache>
                <c:ptCount val="2"/>
                <c:pt idx="0">
                  <c:v>$/kW Average Conditions</c:v>
                </c:pt>
                <c:pt idx="1">
                  <c:v>750 MW</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olid"/>
              </a:ln>
              <a:effectLst/>
            </c:spPr>
            <c:trendlineType val="power"/>
            <c:dispRSqr val="0"/>
            <c:dispEq val="1"/>
            <c:trendlineLbl>
              <c:layout>
                <c:manualLayout>
                  <c:x val="-3.5701581503725356E-2"/>
                  <c:y val="-0.1588689089890893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S-PSH'!$A$46:$A$51</c:f>
              <c:numCache>
                <c:formatCode>General</c:formatCode>
                <c:ptCount val="6"/>
                <c:pt idx="0">
                  <c:v>350</c:v>
                </c:pt>
                <c:pt idx="1">
                  <c:v>500</c:v>
                </c:pt>
                <c:pt idx="2">
                  <c:v>1000</c:v>
                </c:pt>
                <c:pt idx="3">
                  <c:v>1500</c:v>
                </c:pt>
                <c:pt idx="4">
                  <c:v>2000</c:v>
                </c:pt>
                <c:pt idx="5">
                  <c:v>2250</c:v>
                </c:pt>
              </c:numCache>
            </c:numRef>
          </c:xVal>
          <c:yVal>
            <c:numRef>
              <c:f>'Cost Curves S-PSH'!$E$46:$E$51</c:f>
              <c:numCache>
                <c:formatCode>General</c:formatCode>
                <c:ptCount val="6"/>
                <c:pt idx="0">
                  <c:v>90</c:v>
                </c:pt>
                <c:pt idx="1">
                  <c:v>68</c:v>
                </c:pt>
                <c:pt idx="2">
                  <c:v>48</c:v>
                </c:pt>
                <c:pt idx="3">
                  <c:v>41</c:v>
                </c:pt>
                <c:pt idx="4">
                  <c:v>39</c:v>
                </c:pt>
                <c:pt idx="5">
                  <c:v>38</c:v>
                </c:pt>
              </c:numCache>
            </c:numRef>
          </c:yVal>
          <c:smooth val="0"/>
          <c:extLst>
            <c:ext xmlns:c16="http://schemas.microsoft.com/office/drawing/2014/chart" uri="{C3380CC4-5D6E-409C-BE32-E72D297353CC}">
              <c16:uniqueId val="{00000007-94A3-0346-91EA-CA089F25F012}"/>
            </c:ext>
          </c:extLst>
        </c:ser>
        <c:ser>
          <c:idx val="4"/>
          <c:order val="4"/>
          <c:tx>
            <c:strRef>
              <c:f>'Cost Curves S-PSH'!$F$44:$F$45</c:f>
              <c:strCache>
                <c:ptCount val="2"/>
                <c:pt idx="0">
                  <c:v>$/kW Adverse Conditions</c:v>
                </c:pt>
                <c:pt idx="1">
                  <c:v>250 MW</c:v>
                </c:pt>
              </c:strCache>
            </c:strRef>
          </c:tx>
          <c:spPr>
            <a:ln w="25400" cap="rnd">
              <a:no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power"/>
            <c:dispRSqr val="0"/>
            <c:dispEq val="1"/>
            <c:trendlineLbl>
              <c:layout>
                <c:manualLayout>
                  <c:x val="-0.54976563756328178"/>
                  <c:y val="3.4258141697196189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S-PSH'!$A$46:$A$51</c:f>
              <c:numCache>
                <c:formatCode>General</c:formatCode>
                <c:ptCount val="6"/>
                <c:pt idx="0">
                  <c:v>350</c:v>
                </c:pt>
                <c:pt idx="1">
                  <c:v>500</c:v>
                </c:pt>
                <c:pt idx="2">
                  <c:v>1000</c:v>
                </c:pt>
                <c:pt idx="3">
                  <c:v>1500</c:v>
                </c:pt>
                <c:pt idx="4">
                  <c:v>2000</c:v>
                </c:pt>
                <c:pt idx="5">
                  <c:v>2250</c:v>
                </c:pt>
              </c:numCache>
            </c:numRef>
          </c:xVal>
          <c:yVal>
            <c:numRef>
              <c:f>'Cost Curves S-PSH'!$F$46:$F$51</c:f>
              <c:numCache>
                <c:formatCode>General</c:formatCode>
                <c:ptCount val="6"/>
                <c:pt idx="0">
                  <c:v>158</c:v>
                </c:pt>
                <c:pt idx="1">
                  <c:v>120</c:v>
                </c:pt>
                <c:pt idx="2">
                  <c:v>87</c:v>
                </c:pt>
                <c:pt idx="3">
                  <c:v>79</c:v>
                </c:pt>
                <c:pt idx="4">
                  <c:v>76</c:v>
                </c:pt>
                <c:pt idx="5">
                  <c:v>74</c:v>
                </c:pt>
              </c:numCache>
            </c:numRef>
          </c:yVal>
          <c:smooth val="0"/>
          <c:extLst>
            <c:ext xmlns:c16="http://schemas.microsoft.com/office/drawing/2014/chart" uri="{C3380CC4-5D6E-409C-BE32-E72D297353CC}">
              <c16:uniqueId val="{00000009-94A3-0346-91EA-CA089F25F012}"/>
            </c:ext>
          </c:extLst>
        </c:ser>
        <c:ser>
          <c:idx val="5"/>
          <c:order val="5"/>
          <c:tx>
            <c:strRef>
              <c:f>'Cost Curves S-PSH'!$G$44:$G$45</c:f>
              <c:strCache>
                <c:ptCount val="2"/>
                <c:pt idx="0">
                  <c:v>$/kW Adverse Conditions</c:v>
                </c:pt>
                <c:pt idx="1">
                  <c:v>375 MW</c:v>
                </c:pt>
              </c:strCache>
            </c:strRef>
          </c:tx>
          <c:spPr>
            <a:ln w="25400" cap="rnd">
              <a:no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power"/>
            <c:dispRSqr val="0"/>
            <c:dispEq val="1"/>
            <c:trendlineLbl>
              <c:layout>
                <c:manualLayout>
                  <c:x val="-0.56605386541280323"/>
                  <c:y val="4.0436060563559993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S-PSH'!$A$46:$A$51</c:f>
              <c:numCache>
                <c:formatCode>General</c:formatCode>
                <c:ptCount val="6"/>
                <c:pt idx="0">
                  <c:v>350</c:v>
                </c:pt>
                <c:pt idx="1">
                  <c:v>500</c:v>
                </c:pt>
                <c:pt idx="2">
                  <c:v>1000</c:v>
                </c:pt>
                <c:pt idx="3">
                  <c:v>1500</c:v>
                </c:pt>
                <c:pt idx="4">
                  <c:v>2000</c:v>
                </c:pt>
                <c:pt idx="5">
                  <c:v>2250</c:v>
                </c:pt>
              </c:numCache>
            </c:numRef>
          </c:xVal>
          <c:yVal>
            <c:numRef>
              <c:f>'Cost Curves S-PSH'!$G$46:$G$51</c:f>
              <c:numCache>
                <c:formatCode>General</c:formatCode>
                <c:ptCount val="6"/>
                <c:pt idx="0">
                  <c:v>134</c:v>
                </c:pt>
                <c:pt idx="1">
                  <c:v>103</c:v>
                </c:pt>
                <c:pt idx="2">
                  <c:v>74</c:v>
                </c:pt>
                <c:pt idx="3">
                  <c:v>69</c:v>
                </c:pt>
                <c:pt idx="4">
                  <c:v>64</c:v>
                </c:pt>
                <c:pt idx="5">
                  <c:v>62</c:v>
                </c:pt>
              </c:numCache>
            </c:numRef>
          </c:yVal>
          <c:smooth val="0"/>
          <c:extLst>
            <c:ext xmlns:c16="http://schemas.microsoft.com/office/drawing/2014/chart" uri="{C3380CC4-5D6E-409C-BE32-E72D297353CC}">
              <c16:uniqueId val="{0000000B-94A3-0346-91EA-CA089F25F012}"/>
            </c:ext>
          </c:extLst>
        </c:ser>
        <c:ser>
          <c:idx val="6"/>
          <c:order val="6"/>
          <c:tx>
            <c:strRef>
              <c:f>'Cost Curves S-PSH'!$H$44:$H$45</c:f>
              <c:strCache>
                <c:ptCount val="2"/>
                <c:pt idx="0">
                  <c:v>$/kW Adverse Conditions</c:v>
                </c:pt>
                <c:pt idx="1">
                  <c:v>500 MW</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trendline>
            <c:spPr>
              <a:ln w="19050" cap="rnd">
                <a:solidFill>
                  <a:schemeClr val="accent1">
                    <a:lumMod val="60000"/>
                  </a:schemeClr>
                </a:solidFill>
                <a:prstDash val="sysDot"/>
              </a:ln>
              <a:effectLst/>
            </c:spPr>
            <c:trendlineType val="power"/>
            <c:dispRSqr val="0"/>
            <c:dispEq val="1"/>
            <c:trendlineLbl>
              <c:layout>
                <c:manualLayout>
                  <c:x val="-0.56046621262954721"/>
                  <c:y val="5.036547148169777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S-PSH'!$A$46:$A$51</c:f>
              <c:numCache>
                <c:formatCode>General</c:formatCode>
                <c:ptCount val="6"/>
                <c:pt idx="0">
                  <c:v>350</c:v>
                </c:pt>
                <c:pt idx="1">
                  <c:v>500</c:v>
                </c:pt>
                <c:pt idx="2">
                  <c:v>1000</c:v>
                </c:pt>
                <c:pt idx="3">
                  <c:v>1500</c:v>
                </c:pt>
                <c:pt idx="4">
                  <c:v>2000</c:v>
                </c:pt>
                <c:pt idx="5">
                  <c:v>2250</c:v>
                </c:pt>
              </c:numCache>
            </c:numRef>
          </c:xVal>
          <c:yVal>
            <c:numRef>
              <c:f>'Cost Curves S-PSH'!$H$46:$H$51</c:f>
              <c:numCache>
                <c:formatCode>General</c:formatCode>
                <c:ptCount val="6"/>
                <c:pt idx="0">
                  <c:v>122</c:v>
                </c:pt>
                <c:pt idx="1">
                  <c:v>96</c:v>
                </c:pt>
                <c:pt idx="2">
                  <c:v>66</c:v>
                </c:pt>
                <c:pt idx="3">
                  <c:v>62</c:v>
                </c:pt>
                <c:pt idx="4">
                  <c:v>56</c:v>
                </c:pt>
                <c:pt idx="5">
                  <c:v>54</c:v>
                </c:pt>
              </c:numCache>
            </c:numRef>
          </c:yVal>
          <c:smooth val="0"/>
          <c:extLst>
            <c:ext xmlns:c16="http://schemas.microsoft.com/office/drawing/2014/chart" uri="{C3380CC4-5D6E-409C-BE32-E72D297353CC}">
              <c16:uniqueId val="{0000000D-94A3-0346-91EA-CA089F25F012}"/>
            </c:ext>
          </c:extLst>
        </c:ser>
        <c:ser>
          <c:idx val="7"/>
          <c:order val="7"/>
          <c:tx>
            <c:strRef>
              <c:f>'Cost Curves S-PSH'!$I$44:$I$45</c:f>
              <c:strCache>
                <c:ptCount val="2"/>
                <c:pt idx="0">
                  <c:v>$/kW Adverse Conditions</c:v>
                </c:pt>
                <c:pt idx="1">
                  <c:v>750 MW</c:v>
                </c:pt>
              </c:strCache>
            </c:strRef>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trendline>
            <c:spPr>
              <a:ln w="19050" cap="rnd">
                <a:solidFill>
                  <a:schemeClr val="accent2">
                    <a:lumMod val="60000"/>
                  </a:schemeClr>
                </a:solidFill>
                <a:prstDash val="sysDot"/>
              </a:ln>
              <a:effectLst/>
            </c:spPr>
            <c:trendlineType val="power"/>
            <c:dispRSqr val="0"/>
            <c:dispEq val="1"/>
            <c:trendlineLbl>
              <c:layout>
                <c:manualLayout>
                  <c:x val="-0.57175327125172437"/>
                  <c:y val="6.835754207810872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S-PSH'!$A$46:$A$51</c:f>
              <c:numCache>
                <c:formatCode>General</c:formatCode>
                <c:ptCount val="6"/>
                <c:pt idx="0">
                  <c:v>350</c:v>
                </c:pt>
                <c:pt idx="1">
                  <c:v>500</c:v>
                </c:pt>
                <c:pt idx="2">
                  <c:v>1000</c:v>
                </c:pt>
                <c:pt idx="3">
                  <c:v>1500</c:v>
                </c:pt>
                <c:pt idx="4">
                  <c:v>2000</c:v>
                </c:pt>
                <c:pt idx="5">
                  <c:v>2250</c:v>
                </c:pt>
              </c:numCache>
            </c:numRef>
          </c:xVal>
          <c:yVal>
            <c:numRef>
              <c:f>'Cost Curves S-PSH'!$I$46:$I$51</c:f>
              <c:numCache>
                <c:formatCode>General</c:formatCode>
                <c:ptCount val="6"/>
                <c:pt idx="0">
                  <c:v>112</c:v>
                </c:pt>
                <c:pt idx="1">
                  <c:v>86</c:v>
                </c:pt>
                <c:pt idx="2">
                  <c:v>58</c:v>
                </c:pt>
                <c:pt idx="3">
                  <c:v>56</c:v>
                </c:pt>
                <c:pt idx="4">
                  <c:v>52</c:v>
                </c:pt>
                <c:pt idx="5">
                  <c:v>51</c:v>
                </c:pt>
              </c:numCache>
            </c:numRef>
          </c:yVal>
          <c:smooth val="0"/>
          <c:extLst>
            <c:ext xmlns:c16="http://schemas.microsoft.com/office/drawing/2014/chart" uri="{C3380CC4-5D6E-409C-BE32-E72D297353CC}">
              <c16:uniqueId val="{0000000F-94A3-0346-91EA-CA089F25F012}"/>
            </c:ext>
          </c:extLst>
        </c:ser>
        <c:dLbls>
          <c:showLegendKey val="0"/>
          <c:showVal val="0"/>
          <c:showCatName val="0"/>
          <c:showSerName val="0"/>
          <c:showPercent val="0"/>
          <c:showBubbleSize val="0"/>
        </c:dLbls>
        <c:axId val="1892131983"/>
        <c:axId val="1891732623"/>
      </c:scatterChart>
      <c:valAx>
        <c:axId val="189213198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1732623"/>
        <c:crosses val="autoZero"/>
        <c:crossBetween val="midCat"/>
      </c:valAx>
      <c:valAx>
        <c:axId val="18917326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21319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Underground Powestation Structure Cost $/kW</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S-PSH'!$L$44:$L$45</c:f>
              <c:strCache>
                <c:ptCount val="2"/>
                <c:pt idx="0">
                  <c:v>$/kW Average Conditions</c:v>
                </c:pt>
                <c:pt idx="1">
                  <c:v>450 MW</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olid"/>
              </a:ln>
              <a:effectLst/>
            </c:spPr>
            <c:trendlineType val="power"/>
            <c:dispRSqr val="0"/>
            <c:dispEq val="1"/>
            <c:trendlineLbl>
              <c:layout>
                <c:manualLayout>
                  <c:x val="-8.0085277772034266E-2"/>
                  <c:y val="-0.1996781983881092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S-PSH'!$K$47:$K$51</c:f>
              <c:numCache>
                <c:formatCode>General</c:formatCode>
                <c:ptCount val="5"/>
                <c:pt idx="0">
                  <c:v>500</c:v>
                </c:pt>
                <c:pt idx="1">
                  <c:v>1000</c:v>
                </c:pt>
                <c:pt idx="2">
                  <c:v>1500</c:v>
                </c:pt>
                <c:pt idx="3">
                  <c:v>2000</c:v>
                </c:pt>
                <c:pt idx="4">
                  <c:v>2250</c:v>
                </c:pt>
              </c:numCache>
            </c:numRef>
          </c:xVal>
          <c:yVal>
            <c:numRef>
              <c:f>'Cost Curves S-PSH'!$L$47:$L$51</c:f>
              <c:numCache>
                <c:formatCode>General</c:formatCode>
                <c:ptCount val="5"/>
                <c:pt idx="0">
                  <c:v>95</c:v>
                </c:pt>
                <c:pt idx="1">
                  <c:v>59</c:v>
                </c:pt>
                <c:pt idx="2">
                  <c:v>46</c:v>
                </c:pt>
                <c:pt idx="3">
                  <c:v>45</c:v>
                </c:pt>
                <c:pt idx="4">
                  <c:v>45</c:v>
                </c:pt>
              </c:numCache>
            </c:numRef>
          </c:yVal>
          <c:smooth val="0"/>
          <c:extLst>
            <c:ext xmlns:c16="http://schemas.microsoft.com/office/drawing/2014/chart" uri="{C3380CC4-5D6E-409C-BE32-E72D297353CC}">
              <c16:uniqueId val="{00000001-1B31-6D46-BEFF-306C7FB851DC}"/>
            </c:ext>
          </c:extLst>
        </c:ser>
        <c:ser>
          <c:idx val="1"/>
          <c:order val="1"/>
          <c:tx>
            <c:strRef>
              <c:f>'Cost Curves S-PSH'!$M$44:$M$45</c:f>
              <c:strCache>
                <c:ptCount val="2"/>
                <c:pt idx="0">
                  <c:v>$/kW Average Conditions</c:v>
                </c:pt>
                <c:pt idx="1">
                  <c:v>675 MW</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olid"/>
              </a:ln>
              <a:effectLst/>
            </c:spPr>
            <c:trendlineType val="power"/>
            <c:dispRSqr val="0"/>
            <c:dispEq val="1"/>
            <c:trendlineLbl>
              <c:layout>
                <c:manualLayout>
                  <c:x val="-7.7485345697818703E-2"/>
                  <c:y val="-0.1827801346483947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S-PSH'!$K$47:$K$51</c:f>
              <c:numCache>
                <c:formatCode>General</c:formatCode>
                <c:ptCount val="5"/>
                <c:pt idx="0">
                  <c:v>500</c:v>
                </c:pt>
                <c:pt idx="1">
                  <c:v>1000</c:v>
                </c:pt>
                <c:pt idx="2">
                  <c:v>1500</c:v>
                </c:pt>
                <c:pt idx="3">
                  <c:v>2000</c:v>
                </c:pt>
                <c:pt idx="4">
                  <c:v>2250</c:v>
                </c:pt>
              </c:numCache>
            </c:numRef>
          </c:xVal>
          <c:yVal>
            <c:numRef>
              <c:f>'Cost Curves S-PSH'!$M$47:$M$51</c:f>
              <c:numCache>
                <c:formatCode>General</c:formatCode>
                <c:ptCount val="5"/>
                <c:pt idx="0">
                  <c:v>80</c:v>
                </c:pt>
                <c:pt idx="1">
                  <c:v>52</c:v>
                </c:pt>
                <c:pt idx="2">
                  <c:v>41</c:v>
                </c:pt>
                <c:pt idx="3">
                  <c:v>38.75</c:v>
                </c:pt>
                <c:pt idx="4">
                  <c:v>38.5</c:v>
                </c:pt>
              </c:numCache>
            </c:numRef>
          </c:yVal>
          <c:smooth val="0"/>
          <c:extLst>
            <c:ext xmlns:c16="http://schemas.microsoft.com/office/drawing/2014/chart" uri="{C3380CC4-5D6E-409C-BE32-E72D297353CC}">
              <c16:uniqueId val="{00000003-1B31-6D46-BEFF-306C7FB851DC}"/>
            </c:ext>
          </c:extLst>
        </c:ser>
        <c:ser>
          <c:idx val="2"/>
          <c:order val="2"/>
          <c:tx>
            <c:strRef>
              <c:f>'Cost Curves S-PSH'!$N$44:$N$45</c:f>
              <c:strCache>
                <c:ptCount val="2"/>
                <c:pt idx="0">
                  <c:v>$/kW Average Conditions</c:v>
                </c:pt>
                <c:pt idx="1">
                  <c:v>900 MW</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olid"/>
              </a:ln>
              <a:effectLst/>
            </c:spPr>
            <c:trendlineType val="power"/>
            <c:dispRSqr val="0"/>
            <c:dispEq val="1"/>
            <c:trendlineLbl>
              <c:layout>
                <c:manualLayout>
                  <c:x val="-8.2789207129218473E-2"/>
                  <c:y val="-0.1645560309058109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S-PSH'!$K$47:$K$51</c:f>
              <c:numCache>
                <c:formatCode>General</c:formatCode>
                <c:ptCount val="5"/>
                <c:pt idx="0">
                  <c:v>500</c:v>
                </c:pt>
                <c:pt idx="1">
                  <c:v>1000</c:v>
                </c:pt>
                <c:pt idx="2">
                  <c:v>1500</c:v>
                </c:pt>
                <c:pt idx="3">
                  <c:v>2000</c:v>
                </c:pt>
                <c:pt idx="4">
                  <c:v>2250</c:v>
                </c:pt>
              </c:numCache>
            </c:numRef>
          </c:xVal>
          <c:yVal>
            <c:numRef>
              <c:f>'Cost Curves S-PSH'!$N$47:$N$51</c:f>
              <c:numCache>
                <c:formatCode>General</c:formatCode>
                <c:ptCount val="5"/>
                <c:pt idx="0">
                  <c:v>73</c:v>
                </c:pt>
                <c:pt idx="1">
                  <c:v>44</c:v>
                </c:pt>
                <c:pt idx="2">
                  <c:v>36</c:v>
                </c:pt>
                <c:pt idx="3">
                  <c:v>34</c:v>
                </c:pt>
                <c:pt idx="4">
                  <c:v>33.75</c:v>
                </c:pt>
              </c:numCache>
            </c:numRef>
          </c:yVal>
          <c:smooth val="0"/>
          <c:extLst>
            <c:ext xmlns:c16="http://schemas.microsoft.com/office/drawing/2014/chart" uri="{C3380CC4-5D6E-409C-BE32-E72D297353CC}">
              <c16:uniqueId val="{00000005-1B31-6D46-BEFF-306C7FB851DC}"/>
            </c:ext>
          </c:extLst>
        </c:ser>
        <c:ser>
          <c:idx val="3"/>
          <c:order val="3"/>
          <c:tx>
            <c:strRef>
              <c:f>'Cost Curves S-PSH'!$O$44:$O$45</c:f>
              <c:strCache>
                <c:ptCount val="2"/>
                <c:pt idx="0">
                  <c:v>$/kW Average Conditions</c:v>
                </c:pt>
                <c:pt idx="1">
                  <c:v>1350 MW</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olid"/>
              </a:ln>
              <a:effectLst/>
            </c:spPr>
            <c:trendlineType val="power"/>
            <c:dispRSqr val="0"/>
            <c:dispEq val="1"/>
            <c:trendlineLbl>
              <c:layout>
                <c:manualLayout>
                  <c:x val="-7.4885413623603125E-2"/>
                  <c:y val="-0.143680012829652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S-PSH'!$K$47:$K$51</c:f>
              <c:numCache>
                <c:formatCode>General</c:formatCode>
                <c:ptCount val="5"/>
                <c:pt idx="0">
                  <c:v>500</c:v>
                </c:pt>
                <c:pt idx="1">
                  <c:v>1000</c:v>
                </c:pt>
                <c:pt idx="2">
                  <c:v>1500</c:v>
                </c:pt>
                <c:pt idx="3">
                  <c:v>2000</c:v>
                </c:pt>
                <c:pt idx="4">
                  <c:v>2250</c:v>
                </c:pt>
              </c:numCache>
            </c:numRef>
          </c:xVal>
          <c:yVal>
            <c:numRef>
              <c:f>'Cost Curves S-PSH'!$O$47:$O$51</c:f>
              <c:numCache>
                <c:formatCode>General</c:formatCode>
                <c:ptCount val="5"/>
                <c:pt idx="0">
                  <c:v>64</c:v>
                </c:pt>
                <c:pt idx="1">
                  <c:v>40</c:v>
                </c:pt>
                <c:pt idx="2">
                  <c:v>32</c:v>
                </c:pt>
                <c:pt idx="3">
                  <c:v>30</c:v>
                </c:pt>
                <c:pt idx="4">
                  <c:v>29.5</c:v>
                </c:pt>
              </c:numCache>
            </c:numRef>
          </c:yVal>
          <c:smooth val="0"/>
          <c:extLst>
            <c:ext xmlns:c16="http://schemas.microsoft.com/office/drawing/2014/chart" uri="{C3380CC4-5D6E-409C-BE32-E72D297353CC}">
              <c16:uniqueId val="{00000007-1B31-6D46-BEFF-306C7FB851DC}"/>
            </c:ext>
          </c:extLst>
        </c:ser>
        <c:ser>
          <c:idx val="4"/>
          <c:order val="4"/>
          <c:tx>
            <c:strRef>
              <c:f>'Cost Curves S-PSH'!$P$44:$P$45</c:f>
              <c:strCache>
                <c:ptCount val="2"/>
                <c:pt idx="0">
                  <c:v>$/kW Adverse Conditions</c:v>
                </c:pt>
                <c:pt idx="1">
                  <c:v>450 MW</c:v>
                </c:pt>
              </c:strCache>
            </c:strRef>
          </c:tx>
          <c:spPr>
            <a:ln w="25400" cap="rnd">
              <a:no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power"/>
            <c:dispRSqr val="0"/>
            <c:dispEq val="1"/>
            <c:trendlineLbl>
              <c:layout>
                <c:manualLayout>
                  <c:x val="-0.60277562197233303"/>
                  <c:y val="1.2322861251053467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S-PSH'!$K$47:$K$51</c:f>
              <c:numCache>
                <c:formatCode>General</c:formatCode>
                <c:ptCount val="5"/>
                <c:pt idx="0">
                  <c:v>500</c:v>
                </c:pt>
                <c:pt idx="1">
                  <c:v>1000</c:v>
                </c:pt>
                <c:pt idx="2">
                  <c:v>1500</c:v>
                </c:pt>
                <c:pt idx="3">
                  <c:v>2000</c:v>
                </c:pt>
                <c:pt idx="4">
                  <c:v>2250</c:v>
                </c:pt>
              </c:numCache>
            </c:numRef>
          </c:xVal>
          <c:yVal>
            <c:numRef>
              <c:f>'Cost Curves S-PSH'!$P$47:$P$51</c:f>
              <c:numCache>
                <c:formatCode>General</c:formatCode>
                <c:ptCount val="5"/>
                <c:pt idx="0">
                  <c:v>116</c:v>
                </c:pt>
                <c:pt idx="1">
                  <c:v>74</c:v>
                </c:pt>
                <c:pt idx="2">
                  <c:v>60</c:v>
                </c:pt>
                <c:pt idx="3">
                  <c:v>56</c:v>
                </c:pt>
                <c:pt idx="4">
                  <c:v>57</c:v>
                </c:pt>
              </c:numCache>
            </c:numRef>
          </c:yVal>
          <c:smooth val="0"/>
          <c:extLst>
            <c:ext xmlns:c16="http://schemas.microsoft.com/office/drawing/2014/chart" uri="{C3380CC4-5D6E-409C-BE32-E72D297353CC}">
              <c16:uniqueId val="{00000009-1B31-6D46-BEFF-306C7FB851DC}"/>
            </c:ext>
          </c:extLst>
        </c:ser>
        <c:ser>
          <c:idx val="5"/>
          <c:order val="5"/>
          <c:tx>
            <c:strRef>
              <c:f>'Cost Curves S-PSH'!$Q$44:$Q$45</c:f>
              <c:strCache>
                <c:ptCount val="2"/>
                <c:pt idx="0">
                  <c:v>$/kW Adverse Conditions</c:v>
                </c:pt>
                <c:pt idx="1">
                  <c:v>675 MW</c:v>
                </c:pt>
              </c:strCache>
            </c:strRef>
          </c:tx>
          <c:spPr>
            <a:ln w="25400" cap="rnd">
              <a:no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power"/>
            <c:dispRSqr val="0"/>
            <c:dispEq val="1"/>
            <c:trendlineLbl>
              <c:layout>
                <c:manualLayout>
                  <c:x val="-0.59487182846671771"/>
                  <c:y val="1.818169166852909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S-PSH'!$K$47:$K$51</c:f>
              <c:numCache>
                <c:formatCode>General</c:formatCode>
                <c:ptCount val="5"/>
                <c:pt idx="0">
                  <c:v>500</c:v>
                </c:pt>
                <c:pt idx="1">
                  <c:v>1000</c:v>
                </c:pt>
                <c:pt idx="2">
                  <c:v>1500</c:v>
                </c:pt>
                <c:pt idx="3">
                  <c:v>2000</c:v>
                </c:pt>
                <c:pt idx="4">
                  <c:v>2250</c:v>
                </c:pt>
              </c:numCache>
            </c:numRef>
          </c:xVal>
          <c:yVal>
            <c:numRef>
              <c:f>'Cost Curves S-PSH'!$Q$47:$Q$51</c:f>
              <c:numCache>
                <c:formatCode>General</c:formatCode>
                <c:ptCount val="5"/>
                <c:pt idx="0">
                  <c:v>100</c:v>
                </c:pt>
                <c:pt idx="1">
                  <c:v>64</c:v>
                </c:pt>
                <c:pt idx="2">
                  <c:v>50</c:v>
                </c:pt>
                <c:pt idx="3">
                  <c:v>48</c:v>
                </c:pt>
                <c:pt idx="4">
                  <c:v>48</c:v>
                </c:pt>
              </c:numCache>
            </c:numRef>
          </c:yVal>
          <c:smooth val="0"/>
          <c:extLst>
            <c:ext xmlns:c16="http://schemas.microsoft.com/office/drawing/2014/chart" uri="{C3380CC4-5D6E-409C-BE32-E72D297353CC}">
              <c16:uniqueId val="{0000000B-1B31-6D46-BEFF-306C7FB851DC}"/>
            </c:ext>
          </c:extLst>
        </c:ser>
        <c:ser>
          <c:idx val="6"/>
          <c:order val="6"/>
          <c:tx>
            <c:strRef>
              <c:f>'Cost Curves S-PSH'!$R$44:$R$45</c:f>
              <c:strCache>
                <c:ptCount val="2"/>
                <c:pt idx="0">
                  <c:v>$/kW Adverse Conditions</c:v>
                </c:pt>
                <c:pt idx="1">
                  <c:v>900 MW</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trendline>
            <c:spPr>
              <a:ln w="19050" cap="rnd">
                <a:solidFill>
                  <a:schemeClr val="accent1">
                    <a:lumMod val="60000"/>
                  </a:schemeClr>
                </a:solidFill>
                <a:prstDash val="sysDot"/>
              </a:ln>
              <a:effectLst/>
            </c:spPr>
            <c:trendlineType val="power"/>
            <c:dispRSqr val="0"/>
            <c:dispEq val="1"/>
            <c:trendlineLbl>
              <c:layout>
                <c:manualLayout>
                  <c:x val="-0.60277562197233303"/>
                  <c:y val="3.088559889741865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S-PSH'!$K$47:$K$51</c:f>
              <c:numCache>
                <c:formatCode>General</c:formatCode>
                <c:ptCount val="5"/>
                <c:pt idx="0">
                  <c:v>500</c:v>
                </c:pt>
                <c:pt idx="1">
                  <c:v>1000</c:v>
                </c:pt>
                <c:pt idx="2">
                  <c:v>1500</c:v>
                </c:pt>
                <c:pt idx="3">
                  <c:v>2000</c:v>
                </c:pt>
                <c:pt idx="4">
                  <c:v>2250</c:v>
                </c:pt>
              </c:numCache>
            </c:numRef>
          </c:xVal>
          <c:yVal>
            <c:numRef>
              <c:f>'Cost Curves S-PSH'!$R$47:$R$51</c:f>
              <c:numCache>
                <c:formatCode>General</c:formatCode>
                <c:ptCount val="5"/>
                <c:pt idx="0">
                  <c:v>94</c:v>
                </c:pt>
                <c:pt idx="1">
                  <c:v>55</c:v>
                </c:pt>
                <c:pt idx="2">
                  <c:v>44</c:v>
                </c:pt>
                <c:pt idx="3">
                  <c:v>43</c:v>
                </c:pt>
                <c:pt idx="4">
                  <c:v>43</c:v>
                </c:pt>
              </c:numCache>
            </c:numRef>
          </c:yVal>
          <c:smooth val="0"/>
          <c:extLst>
            <c:ext xmlns:c16="http://schemas.microsoft.com/office/drawing/2014/chart" uri="{C3380CC4-5D6E-409C-BE32-E72D297353CC}">
              <c16:uniqueId val="{0000000D-1B31-6D46-BEFF-306C7FB851DC}"/>
            </c:ext>
          </c:extLst>
        </c:ser>
        <c:ser>
          <c:idx val="7"/>
          <c:order val="7"/>
          <c:tx>
            <c:strRef>
              <c:f>'Cost Curves S-PSH'!$S$44:$S$45</c:f>
              <c:strCache>
                <c:ptCount val="2"/>
                <c:pt idx="0">
                  <c:v>$/kW Adverse Conditions</c:v>
                </c:pt>
                <c:pt idx="1">
                  <c:v>1350 MW</c:v>
                </c:pt>
              </c:strCache>
            </c:strRef>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trendline>
            <c:spPr>
              <a:ln w="19050" cap="rnd">
                <a:solidFill>
                  <a:schemeClr val="accent2">
                    <a:lumMod val="60000"/>
                  </a:schemeClr>
                </a:solidFill>
                <a:prstDash val="sysDot"/>
              </a:ln>
              <a:effectLst/>
            </c:spPr>
            <c:trendlineType val="power"/>
            <c:dispRSqr val="0"/>
            <c:dispEq val="1"/>
            <c:trendlineLbl>
              <c:layout>
                <c:manualLayout>
                  <c:x val="-0.59487182846671771"/>
                  <c:y val="4.911616385440929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S-PSH'!$K$47:$K$51</c:f>
              <c:numCache>
                <c:formatCode>General</c:formatCode>
                <c:ptCount val="5"/>
                <c:pt idx="0">
                  <c:v>500</c:v>
                </c:pt>
                <c:pt idx="1">
                  <c:v>1000</c:v>
                </c:pt>
                <c:pt idx="2">
                  <c:v>1500</c:v>
                </c:pt>
                <c:pt idx="3">
                  <c:v>2000</c:v>
                </c:pt>
                <c:pt idx="4">
                  <c:v>2250</c:v>
                </c:pt>
              </c:numCache>
            </c:numRef>
          </c:xVal>
          <c:yVal>
            <c:numRef>
              <c:f>'Cost Curves S-PSH'!$S$47:$S$51</c:f>
              <c:numCache>
                <c:formatCode>General</c:formatCode>
                <c:ptCount val="5"/>
                <c:pt idx="0">
                  <c:v>83</c:v>
                </c:pt>
                <c:pt idx="1">
                  <c:v>52</c:v>
                </c:pt>
                <c:pt idx="2">
                  <c:v>40</c:v>
                </c:pt>
                <c:pt idx="3">
                  <c:v>38</c:v>
                </c:pt>
                <c:pt idx="4">
                  <c:v>38.5</c:v>
                </c:pt>
              </c:numCache>
            </c:numRef>
          </c:yVal>
          <c:smooth val="0"/>
          <c:extLst>
            <c:ext xmlns:c16="http://schemas.microsoft.com/office/drawing/2014/chart" uri="{C3380CC4-5D6E-409C-BE32-E72D297353CC}">
              <c16:uniqueId val="{0000000F-1B31-6D46-BEFF-306C7FB851DC}"/>
            </c:ext>
          </c:extLst>
        </c:ser>
        <c:dLbls>
          <c:showLegendKey val="0"/>
          <c:showVal val="0"/>
          <c:showCatName val="0"/>
          <c:showSerName val="0"/>
          <c:showPercent val="0"/>
          <c:showBubbleSize val="0"/>
        </c:dLbls>
        <c:axId val="1903879439"/>
        <c:axId val="1903622863"/>
      </c:scatterChart>
      <c:valAx>
        <c:axId val="190387943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3622863"/>
        <c:crosses val="autoZero"/>
        <c:crossBetween val="midCat"/>
      </c:valAx>
      <c:valAx>
        <c:axId val="19036228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387943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Surface Powestation Structure Cost $/kW</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S-PSH'!$V$44:$V$45</c:f>
              <c:strCache>
                <c:ptCount val="2"/>
                <c:pt idx="0">
                  <c:v>$/kW Average Conditions</c:v>
                </c:pt>
                <c:pt idx="1">
                  <c:v>250 MW</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olid"/>
              </a:ln>
              <a:effectLst/>
            </c:spPr>
            <c:trendlineType val="poly"/>
            <c:order val="2"/>
            <c:dispRSqr val="0"/>
            <c:dispEq val="1"/>
            <c:trendlineLbl>
              <c:layout>
                <c:manualLayout>
                  <c:x val="-0.40363660782691774"/>
                  <c:y val="8.587323704411441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S-PSH'!$U$47:$U$51</c:f>
              <c:numCache>
                <c:formatCode>General</c:formatCode>
                <c:ptCount val="5"/>
                <c:pt idx="0">
                  <c:v>500</c:v>
                </c:pt>
                <c:pt idx="1">
                  <c:v>1000</c:v>
                </c:pt>
                <c:pt idx="2">
                  <c:v>1500</c:v>
                </c:pt>
                <c:pt idx="3">
                  <c:v>2000</c:v>
                </c:pt>
                <c:pt idx="4">
                  <c:v>2250</c:v>
                </c:pt>
              </c:numCache>
            </c:numRef>
          </c:xVal>
          <c:yVal>
            <c:numRef>
              <c:f>'Cost Curves S-PSH'!$V$47:$V$51</c:f>
              <c:numCache>
                <c:formatCode>General</c:formatCode>
                <c:ptCount val="5"/>
                <c:pt idx="0">
                  <c:v>62</c:v>
                </c:pt>
                <c:pt idx="1">
                  <c:v>60</c:v>
                </c:pt>
                <c:pt idx="2">
                  <c:v>62</c:v>
                </c:pt>
                <c:pt idx="3">
                  <c:v>66</c:v>
                </c:pt>
                <c:pt idx="4">
                  <c:v>71</c:v>
                </c:pt>
              </c:numCache>
            </c:numRef>
          </c:yVal>
          <c:smooth val="0"/>
          <c:extLst>
            <c:ext xmlns:c16="http://schemas.microsoft.com/office/drawing/2014/chart" uri="{C3380CC4-5D6E-409C-BE32-E72D297353CC}">
              <c16:uniqueId val="{00000001-D30B-6E4E-86B9-A0BCEAFD21B9}"/>
            </c:ext>
          </c:extLst>
        </c:ser>
        <c:ser>
          <c:idx val="1"/>
          <c:order val="1"/>
          <c:tx>
            <c:strRef>
              <c:f>'Cost Curves S-PSH'!$W$44:$W$45</c:f>
              <c:strCache>
                <c:ptCount val="2"/>
                <c:pt idx="0">
                  <c:v>$/kW Average Conditions</c:v>
                </c:pt>
                <c:pt idx="1">
                  <c:v>375 MW</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olid"/>
              </a:ln>
              <a:effectLst/>
            </c:spPr>
            <c:trendlineType val="poly"/>
            <c:order val="2"/>
            <c:dispRSqr val="0"/>
            <c:dispEq val="1"/>
            <c:trendlineLbl>
              <c:layout>
                <c:manualLayout>
                  <c:x val="-0.40622095785779766"/>
                  <c:y val="0.1004406843945462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S-PSH'!$U$47:$U$51</c:f>
              <c:numCache>
                <c:formatCode>General</c:formatCode>
                <c:ptCount val="5"/>
                <c:pt idx="0">
                  <c:v>500</c:v>
                </c:pt>
                <c:pt idx="1">
                  <c:v>1000</c:v>
                </c:pt>
                <c:pt idx="2">
                  <c:v>1500</c:v>
                </c:pt>
                <c:pt idx="3">
                  <c:v>2000</c:v>
                </c:pt>
                <c:pt idx="4">
                  <c:v>2250</c:v>
                </c:pt>
              </c:numCache>
            </c:numRef>
          </c:xVal>
          <c:yVal>
            <c:numRef>
              <c:f>'Cost Curves S-PSH'!$W$47:$W$51</c:f>
              <c:numCache>
                <c:formatCode>General</c:formatCode>
                <c:ptCount val="5"/>
                <c:pt idx="0">
                  <c:v>55</c:v>
                </c:pt>
                <c:pt idx="1">
                  <c:v>54</c:v>
                </c:pt>
                <c:pt idx="2">
                  <c:v>56</c:v>
                </c:pt>
                <c:pt idx="3">
                  <c:v>64</c:v>
                </c:pt>
                <c:pt idx="4">
                  <c:v>66</c:v>
                </c:pt>
              </c:numCache>
            </c:numRef>
          </c:yVal>
          <c:smooth val="0"/>
          <c:extLst>
            <c:ext xmlns:c16="http://schemas.microsoft.com/office/drawing/2014/chart" uri="{C3380CC4-5D6E-409C-BE32-E72D297353CC}">
              <c16:uniqueId val="{00000003-D30B-6E4E-86B9-A0BCEAFD21B9}"/>
            </c:ext>
          </c:extLst>
        </c:ser>
        <c:ser>
          <c:idx val="2"/>
          <c:order val="2"/>
          <c:tx>
            <c:strRef>
              <c:f>'Cost Curves S-PSH'!$X$44:$X$45</c:f>
              <c:strCache>
                <c:ptCount val="2"/>
                <c:pt idx="0">
                  <c:v>$/kW Average Conditions</c:v>
                </c:pt>
                <c:pt idx="1">
                  <c:v>500 MW</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cmpd="sng">
                <a:solidFill>
                  <a:schemeClr val="accent3"/>
                </a:solidFill>
                <a:prstDash val="solid"/>
              </a:ln>
              <a:effectLst/>
            </c:spPr>
            <c:trendlineType val="poly"/>
            <c:order val="2"/>
            <c:dispRSqr val="0"/>
            <c:dispEq val="1"/>
            <c:trendlineLbl>
              <c:layout>
                <c:manualLayout>
                  <c:x val="-0.39329920770339799"/>
                  <c:y val="0.1138488782212081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S-PSH'!$U$47:$U$51</c:f>
              <c:numCache>
                <c:formatCode>General</c:formatCode>
                <c:ptCount val="5"/>
                <c:pt idx="0">
                  <c:v>500</c:v>
                </c:pt>
                <c:pt idx="1">
                  <c:v>1000</c:v>
                </c:pt>
                <c:pt idx="2">
                  <c:v>1500</c:v>
                </c:pt>
                <c:pt idx="3">
                  <c:v>2000</c:v>
                </c:pt>
                <c:pt idx="4">
                  <c:v>2250</c:v>
                </c:pt>
              </c:numCache>
            </c:numRef>
          </c:xVal>
          <c:yVal>
            <c:numRef>
              <c:f>'Cost Curves S-PSH'!$X$47:$X$51</c:f>
              <c:numCache>
                <c:formatCode>General</c:formatCode>
                <c:ptCount val="5"/>
                <c:pt idx="0">
                  <c:v>52</c:v>
                </c:pt>
                <c:pt idx="1">
                  <c:v>53</c:v>
                </c:pt>
                <c:pt idx="2">
                  <c:v>54.5</c:v>
                </c:pt>
                <c:pt idx="3">
                  <c:v>59</c:v>
                </c:pt>
                <c:pt idx="4">
                  <c:v>63</c:v>
                </c:pt>
              </c:numCache>
            </c:numRef>
          </c:yVal>
          <c:smooth val="0"/>
          <c:extLst>
            <c:ext xmlns:c16="http://schemas.microsoft.com/office/drawing/2014/chart" uri="{C3380CC4-5D6E-409C-BE32-E72D297353CC}">
              <c16:uniqueId val="{00000005-D30B-6E4E-86B9-A0BCEAFD21B9}"/>
            </c:ext>
          </c:extLst>
        </c:ser>
        <c:ser>
          <c:idx val="3"/>
          <c:order val="3"/>
          <c:tx>
            <c:strRef>
              <c:f>'Cost Curves S-PSH'!$Y$44:$Y$45</c:f>
              <c:strCache>
                <c:ptCount val="2"/>
                <c:pt idx="0">
                  <c:v>$/kW Average Conditions</c:v>
                </c:pt>
                <c:pt idx="1">
                  <c:v>750 MW</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olid"/>
              </a:ln>
              <a:effectLst/>
            </c:spPr>
            <c:trendlineType val="poly"/>
            <c:order val="2"/>
            <c:dispRSqr val="0"/>
            <c:dispEq val="1"/>
            <c:trendlineLbl>
              <c:layout>
                <c:manualLayout>
                  <c:x val="-0.40508384384421048"/>
                  <c:y val="0.1326416036582060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S-PSH'!$U$47:$U$51</c:f>
              <c:numCache>
                <c:formatCode>General</c:formatCode>
                <c:ptCount val="5"/>
                <c:pt idx="0">
                  <c:v>500</c:v>
                </c:pt>
                <c:pt idx="1">
                  <c:v>1000</c:v>
                </c:pt>
                <c:pt idx="2">
                  <c:v>1500</c:v>
                </c:pt>
                <c:pt idx="3">
                  <c:v>2000</c:v>
                </c:pt>
                <c:pt idx="4">
                  <c:v>2250</c:v>
                </c:pt>
              </c:numCache>
            </c:numRef>
          </c:xVal>
          <c:yVal>
            <c:numRef>
              <c:f>'Cost Curves S-PSH'!$Y$47:$Y$51</c:f>
              <c:numCache>
                <c:formatCode>General</c:formatCode>
                <c:ptCount val="5"/>
                <c:pt idx="0">
                  <c:v>48</c:v>
                </c:pt>
                <c:pt idx="1">
                  <c:v>49</c:v>
                </c:pt>
                <c:pt idx="2">
                  <c:v>53</c:v>
                </c:pt>
                <c:pt idx="3">
                  <c:v>56</c:v>
                </c:pt>
                <c:pt idx="4">
                  <c:v>60</c:v>
                </c:pt>
              </c:numCache>
            </c:numRef>
          </c:yVal>
          <c:smooth val="0"/>
          <c:extLst>
            <c:ext xmlns:c16="http://schemas.microsoft.com/office/drawing/2014/chart" uri="{C3380CC4-5D6E-409C-BE32-E72D297353CC}">
              <c16:uniqueId val="{00000007-D30B-6E4E-86B9-A0BCEAFD21B9}"/>
            </c:ext>
          </c:extLst>
        </c:ser>
        <c:ser>
          <c:idx val="4"/>
          <c:order val="4"/>
          <c:tx>
            <c:strRef>
              <c:f>'Cost Curves S-PSH'!$Z$44:$Z$45</c:f>
              <c:strCache>
                <c:ptCount val="2"/>
                <c:pt idx="0">
                  <c:v>$/kW Adverse Conditions</c:v>
                </c:pt>
                <c:pt idx="1">
                  <c:v>250 MW</c:v>
                </c:pt>
              </c:strCache>
            </c:strRef>
          </c:tx>
          <c:spPr>
            <a:ln w="25400" cap="rnd">
              <a:no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poly"/>
            <c:order val="2"/>
            <c:dispRSqr val="0"/>
            <c:dispEq val="1"/>
            <c:trendlineLbl>
              <c:layout>
                <c:manualLayout>
                  <c:x val="2.5365497299150726E-2"/>
                  <c:y val="0.1646528838079006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S-PSH'!$U$47:$U$51</c:f>
              <c:numCache>
                <c:formatCode>General</c:formatCode>
                <c:ptCount val="5"/>
                <c:pt idx="0">
                  <c:v>500</c:v>
                </c:pt>
                <c:pt idx="1">
                  <c:v>1000</c:v>
                </c:pt>
                <c:pt idx="2">
                  <c:v>1500</c:v>
                </c:pt>
                <c:pt idx="3">
                  <c:v>2000</c:v>
                </c:pt>
                <c:pt idx="4">
                  <c:v>2250</c:v>
                </c:pt>
              </c:numCache>
            </c:numRef>
          </c:xVal>
          <c:yVal>
            <c:numRef>
              <c:f>'Cost Curves S-PSH'!$Z$47:$Z$51</c:f>
              <c:numCache>
                <c:formatCode>General</c:formatCode>
                <c:ptCount val="5"/>
                <c:pt idx="0">
                  <c:v>90</c:v>
                </c:pt>
                <c:pt idx="1">
                  <c:v>90</c:v>
                </c:pt>
                <c:pt idx="2">
                  <c:v>94</c:v>
                </c:pt>
                <c:pt idx="3">
                  <c:v>98</c:v>
                </c:pt>
                <c:pt idx="4">
                  <c:v>101</c:v>
                </c:pt>
              </c:numCache>
            </c:numRef>
          </c:yVal>
          <c:smooth val="0"/>
          <c:extLst>
            <c:ext xmlns:c16="http://schemas.microsoft.com/office/drawing/2014/chart" uri="{C3380CC4-5D6E-409C-BE32-E72D297353CC}">
              <c16:uniqueId val="{00000009-D30B-6E4E-86B9-A0BCEAFD21B9}"/>
            </c:ext>
          </c:extLst>
        </c:ser>
        <c:ser>
          <c:idx val="5"/>
          <c:order val="5"/>
          <c:tx>
            <c:strRef>
              <c:f>'Cost Curves S-PSH'!$AA$44:$AA$45</c:f>
              <c:strCache>
                <c:ptCount val="2"/>
                <c:pt idx="0">
                  <c:v>$/kW Adverse Conditions</c:v>
                </c:pt>
                <c:pt idx="1">
                  <c:v>375 MW</c:v>
                </c:pt>
              </c:strCache>
            </c:strRef>
          </c:tx>
          <c:spPr>
            <a:ln w="25400" cap="rnd">
              <a:no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poly"/>
            <c:order val="2"/>
            <c:dispRSqr val="0"/>
            <c:dispEq val="1"/>
            <c:trendlineLbl>
              <c:layout>
                <c:manualLayout>
                  <c:x val="1.5454616676790401E-2"/>
                  <c:y val="0.1568107874504709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S-PSH'!$U$47:$U$51</c:f>
              <c:numCache>
                <c:formatCode>General</c:formatCode>
                <c:ptCount val="5"/>
                <c:pt idx="0">
                  <c:v>500</c:v>
                </c:pt>
                <c:pt idx="1">
                  <c:v>1000</c:v>
                </c:pt>
                <c:pt idx="2">
                  <c:v>1500</c:v>
                </c:pt>
                <c:pt idx="3">
                  <c:v>2000</c:v>
                </c:pt>
                <c:pt idx="4">
                  <c:v>2250</c:v>
                </c:pt>
              </c:numCache>
            </c:numRef>
          </c:xVal>
          <c:yVal>
            <c:numRef>
              <c:f>'Cost Curves S-PSH'!$AA$47:$AA$51</c:f>
              <c:numCache>
                <c:formatCode>General</c:formatCode>
                <c:ptCount val="5"/>
                <c:pt idx="0">
                  <c:v>76</c:v>
                </c:pt>
                <c:pt idx="1">
                  <c:v>78</c:v>
                </c:pt>
                <c:pt idx="2">
                  <c:v>82</c:v>
                </c:pt>
                <c:pt idx="3">
                  <c:v>85</c:v>
                </c:pt>
                <c:pt idx="4">
                  <c:v>89</c:v>
                </c:pt>
              </c:numCache>
            </c:numRef>
          </c:yVal>
          <c:smooth val="0"/>
          <c:extLst>
            <c:ext xmlns:c16="http://schemas.microsoft.com/office/drawing/2014/chart" uri="{C3380CC4-5D6E-409C-BE32-E72D297353CC}">
              <c16:uniqueId val="{0000000B-D30B-6E4E-86B9-A0BCEAFD21B9}"/>
            </c:ext>
          </c:extLst>
        </c:ser>
        <c:ser>
          <c:idx val="6"/>
          <c:order val="6"/>
          <c:tx>
            <c:strRef>
              <c:f>'Cost Curves S-PSH'!$AB$44:$AB$45</c:f>
              <c:strCache>
                <c:ptCount val="2"/>
                <c:pt idx="0">
                  <c:v>$/kW Adverse Conditions</c:v>
                </c:pt>
                <c:pt idx="1">
                  <c:v>500 MW</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trendline>
            <c:spPr>
              <a:ln w="19050" cap="rnd">
                <a:solidFill>
                  <a:schemeClr val="accent1">
                    <a:lumMod val="60000"/>
                  </a:schemeClr>
                </a:solidFill>
                <a:prstDash val="sysDot"/>
              </a:ln>
              <a:effectLst/>
            </c:spPr>
            <c:trendlineType val="poly"/>
            <c:order val="2"/>
            <c:dispRSqr val="0"/>
            <c:dispEq val="1"/>
            <c:trendlineLbl>
              <c:layout>
                <c:manualLayout>
                  <c:x val="2.7239252817602883E-2"/>
                  <c:y val="0.1698751265153211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S-PSH'!$U$47:$U$51</c:f>
              <c:numCache>
                <c:formatCode>General</c:formatCode>
                <c:ptCount val="5"/>
                <c:pt idx="0">
                  <c:v>500</c:v>
                </c:pt>
                <c:pt idx="1">
                  <c:v>1000</c:v>
                </c:pt>
                <c:pt idx="2">
                  <c:v>1500</c:v>
                </c:pt>
                <c:pt idx="3">
                  <c:v>2000</c:v>
                </c:pt>
                <c:pt idx="4">
                  <c:v>2250</c:v>
                </c:pt>
              </c:numCache>
            </c:numRef>
          </c:xVal>
          <c:yVal>
            <c:numRef>
              <c:f>'Cost Curves S-PSH'!$AB$47:$AB$51</c:f>
              <c:numCache>
                <c:formatCode>General</c:formatCode>
                <c:ptCount val="5"/>
                <c:pt idx="0">
                  <c:v>71</c:v>
                </c:pt>
                <c:pt idx="1">
                  <c:v>74</c:v>
                </c:pt>
                <c:pt idx="2">
                  <c:v>75.5</c:v>
                </c:pt>
                <c:pt idx="3">
                  <c:v>80</c:v>
                </c:pt>
                <c:pt idx="4">
                  <c:v>83</c:v>
                </c:pt>
              </c:numCache>
            </c:numRef>
          </c:yVal>
          <c:smooth val="0"/>
          <c:extLst>
            <c:ext xmlns:c16="http://schemas.microsoft.com/office/drawing/2014/chart" uri="{C3380CC4-5D6E-409C-BE32-E72D297353CC}">
              <c16:uniqueId val="{0000000D-D30B-6E4E-86B9-A0BCEAFD21B9}"/>
            </c:ext>
          </c:extLst>
        </c:ser>
        <c:ser>
          <c:idx val="7"/>
          <c:order val="7"/>
          <c:tx>
            <c:strRef>
              <c:f>'Cost Curves S-PSH'!$AC$44:$AC$45</c:f>
              <c:strCache>
                <c:ptCount val="2"/>
                <c:pt idx="0">
                  <c:v>$/kW Adverse Conditions</c:v>
                </c:pt>
                <c:pt idx="1">
                  <c:v>750 MW</c:v>
                </c:pt>
              </c:strCache>
            </c:strRef>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trendline>
            <c:spPr>
              <a:ln w="19050" cap="rnd">
                <a:solidFill>
                  <a:schemeClr val="accent2">
                    <a:lumMod val="60000"/>
                  </a:schemeClr>
                </a:solidFill>
                <a:prstDash val="sysDot"/>
              </a:ln>
              <a:effectLst/>
            </c:spPr>
            <c:trendlineType val="poly"/>
            <c:order val="2"/>
            <c:dispRSqr val="0"/>
            <c:dispEq val="1"/>
            <c:trendlineLbl>
              <c:layout>
                <c:manualLayout>
                  <c:x val="1.5454616676790401E-2"/>
                  <c:y val="0.1769224191492337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S-PSH'!$U$47:$U$51</c:f>
              <c:numCache>
                <c:formatCode>General</c:formatCode>
                <c:ptCount val="5"/>
                <c:pt idx="0">
                  <c:v>500</c:v>
                </c:pt>
                <c:pt idx="1">
                  <c:v>1000</c:v>
                </c:pt>
                <c:pt idx="2">
                  <c:v>1500</c:v>
                </c:pt>
                <c:pt idx="3">
                  <c:v>2000</c:v>
                </c:pt>
                <c:pt idx="4">
                  <c:v>2250</c:v>
                </c:pt>
              </c:numCache>
            </c:numRef>
          </c:xVal>
          <c:yVal>
            <c:numRef>
              <c:f>'Cost Curves S-PSH'!$AC$47:$AC$51</c:f>
              <c:numCache>
                <c:formatCode>General</c:formatCode>
                <c:ptCount val="5"/>
                <c:pt idx="0">
                  <c:v>64</c:v>
                </c:pt>
                <c:pt idx="1">
                  <c:v>66</c:v>
                </c:pt>
                <c:pt idx="2">
                  <c:v>69</c:v>
                </c:pt>
                <c:pt idx="3">
                  <c:v>74</c:v>
                </c:pt>
                <c:pt idx="4">
                  <c:v>75</c:v>
                </c:pt>
              </c:numCache>
            </c:numRef>
          </c:yVal>
          <c:smooth val="0"/>
          <c:extLst>
            <c:ext xmlns:c16="http://schemas.microsoft.com/office/drawing/2014/chart" uri="{C3380CC4-5D6E-409C-BE32-E72D297353CC}">
              <c16:uniqueId val="{0000000F-D30B-6E4E-86B9-A0BCEAFD21B9}"/>
            </c:ext>
          </c:extLst>
        </c:ser>
        <c:dLbls>
          <c:showLegendKey val="0"/>
          <c:showVal val="0"/>
          <c:showCatName val="0"/>
          <c:showSerName val="0"/>
          <c:showPercent val="0"/>
          <c:showBubbleSize val="0"/>
        </c:dLbls>
        <c:axId val="1901212879"/>
        <c:axId val="1901684815"/>
      </c:scatterChart>
      <c:valAx>
        <c:axId val="190121287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1684815"/>
        <c:crosses val="autoZero"/>
        <c:crossBetween val="midCat"/>
      </c:valAx>
      <c:valAx>
        <c:axId val="1901684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12128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Surface Powestation Structure Cost $/kW</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S-PSH'!$AF$44:$AF$45</c:f>
              <c:strCache>
                <c:ptCount val="2"/>
                <c:pt idx="0">
                  <c:v>$/kW Average Conditions</c:v>
                </c:pt>
                <c:pt idx="1">
                  <c:v>450 MW</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olid"/>
              </a:ln>
              <a:effectLst/>
            </c:spPr>
            <c:trendlineType val="poly"/>
            <c:order val="2"/>
            <c:dispRSqr val="0"/>
            <c:dispEq val="1"/>
            <c:trendlineLbl>
              <c:layout>
                <c:manualLayout>
                  <c:x val="-0.41122728522936636"/>
                  <c:y val="7.583455626671596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S-PSH'!$AE$46:$AE$51</c:f>
              <c:numCache>
                <c:formatCode>General</c:formatCode>
                <c:ptCount val="6"/>
                <c:pt idx="0">
                  <c:v>350</c:v>
                </c:pt>
                <c:pt idx="1">
                  <c:v>500</c:v>
                </c:pt>
                <c:pt idx="2">
                  <c:v>1000</c:v>
                </c:pt>
                <c:pt idx="3">
                  <c:v>1500</c:v>
                </c:pt>
                <c:pt idx="4">
                  <c:v>2000</c:v>
                </c:pt>
                <c:pt idx="5">
                  <c:v>2250</c:v>
                </c:pt>
              </c:numCache>
            </c:numRef>
          </c:xVal>
          <c:yVal>
            <c:numRef>
              <c:f>'Cost Curves S-PSH'!$AF$46:$AF$51</c:f>
              <c:numCache>
                <c:formatCode>General</c:formatCode>
                <c:ptCount val="6"/>
                <c:pt idx="0">
                  <c:v>50</c:v>
                </c:pt>
                <c:pt idx="1">
                  <c:v>46</c:v>
                </c:pt>
                <c:pt idx="2">
                  <c:v>42</c:v>
                </c:pt>
                <c:pt idx="3">
                  <c:v>44</c:v>
                </c:pt>
                <c:pt idx="4">
                  <c:v>45</c:v>
                </c:pt>
                <c:pt idx="5">
                  <c:v>46</c:v>
                </c:pt>
              </c:numCache>
            </c:numRef>
          </c:yVal>
          <c:smooth val="0"/>
          <c:extLst>
            <c:ext xmlns:c16="http://schemas.microsoft.com/office/drawing/2014/chart" uri="{C3380CC4-5D6E-409C-BE32-E72D297353CC}">
              <c16:uniqueId val="{00000001-E525-404D-9FA9-4B93259E454D}"/>
            </c:ext>
          </c:extLst>
        </c:ser>
        <c:ser>
          <c:idx val="1"/>
          <c:order val="1"/>
          <c:tx>
            <c:strRef>
              <c:f>'Cost Curves S-PSH'!$AG$44:$AG$45</c:f>
              <c:strCache>
                <c:ptCount val="2"/>
                <c:pt idx="0">
                  <c:v>$/kW Average Conditions</c:v>
                </c:pt>
                <c:pt idx="1">
                  <c:v>675 MW</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olid"/>
              </a:ln>
              <a:effectLst/>
            </c:spPr>
            <c:trendlineType val="poly"/>
            <c:order val="2"/>
            <c:dispRSqr val="0"/>
            <c:dispEq val="1"/>
            <c:trendlineLbl>
              <c:layout>
                <c:manualLayout>
                  <c:x val="-0.4059863475637171"/>
                  <c:y val="9.5777967691492258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S-PSH'!$AE$46:$AE$51</c:f>
              <c:numCache>
                <c:formatCode>General</c:formatCode>
                <c:ptCount val="6"/>
                <c:pt idx="0">
                  <c:v>350</c:v>
                </c:pt>
                <c:pt idx="1">
                  <c:v>500</c:v>
                </c:pt>
                <c:pt idx="2">
                  <c:v>1000</c:v>
                </c:pt>
                <c:pt idx="3">
                  <c:v>1500</c:v>
                </c:pt>
                <c:pt idx="4">
                  <c:v>2000</c:v>
                </c:pt>
                <c:pt idx="5">
                  <c:v>2250</c:v>
                </c:pt>
              </c:numCache>
            </c:numRef>
          </c:xVal>
          <c:yVal>
            <c:numRef>
              <c:f>'Cost Curves S-PSH'!$AG$46:$AG$51</c:f>
              <c:numCache>
                <c:formatCode>General</c:formatCode>
                <c:ptCount val="6"/>
                <c:pt idx="0">
                  <c:v>44</c:v>
                </c:pt>
                <c:pt idx="1">
                  <c:v>41.5</c:v>
                </c:pt>
                <c:pt idx="2">
                  <c:v>37</c:v>
                </c:pt>
                <c:pt idx="3">
                  <c:v>40</c:v>
                </c:pt>
                <c:pt idx="4">
                  <c:v>43</c:v>
                </c:pt>
                <c:pt idx="5">
                  <c:v>44</c:v>
                </c:pt>
              </c:numCache>
            </c:numRef>
          </c:yVal>
          <c:smooth val="0"/>
          <c:extLst>
            <c:ext xmlns:c16="http://schemas.microsoft.com/office/drawing/2014/chart" uri="{C3380CC4-5D6E-409C-BE32-E72D297353CC}">
              <c16:uniqueId val="{00000003-E525-404D-9FA9-4B93259E454D}"/>
            </c:ext>
          </c:extLst>
        </c:ser>
        <c:ser>
          <c:idx val="2"/>
          <c:order val="2"/>
          <c:tx>
            <c:strRef>
              <c:f>'Cost Curves S-PSH'!$AH$44:$AH$45</c:f>
              <c:strCache>
                <c:ptCount val="2"/>
                <c:pt idx="0">
                  <c:v>$/kW Average Conditions</c:v>
                </c:pt>
                <c:pt idx="1">
                  <c:v>900 MW</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olid"/>
              </a:ln>
              <a:effectLst/>
            </c:spPr>
            <c:trendlineType val="poly"/>
            <c:order val="2"/>
            <c:dispRSqr val="0"/>
            <c:dispEq val="1"/>
            <c:trendlineLbl>
              <c:layout>
                <c:manualLayout>
                  <c:x val="-0.4059863475637171"/>
                  <c:y val="0.1110851888227266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S-PSH'!$AE$46:$AE$51</c:f>
              <c:numCache>
                <c:formatCode>General</c:formatCode>
                <c:ptCount val="6"/>
                <c:pt idx="0">
                  <c:v>350</c:v>
                </c:pt>
                <c:pt idx="1">
                  <c:v>500</c:v>
                </c:pt>
                <c:pt idx="2">
                  <c:v>1000</c:v>
                </c:pt>
                <c:pt idx="3">
                  <c:v>1500</c:v>
                </c:pt>
                <c:pt idx="4">
                  <c:v>2000</c:v>
                </c:pt>
                <c:pt idx="5">
                  <c:v>2250</c:v>
                </c:pt>
              </c:numCache>
            </c:numRef>
          </c:xVal>
          <c:yVal>
            <c:numRef>
              <c:f>'Cost Curves S-PSH'!$AH$46:$AH$51</c:f>
              <c:numCache>
                <c:formatCode>General</c:formatCode>
                <c:ptCount val="6"/>
                <c:pt idx="0">
                  <c:v>41</c:v>
                </c:pt>
                <c:pt idx="1">
                  <c:v>38</c:v>
                </c:pt>
                <c:pt idx="2">
                  <c:v>36</c:v>
                </c:pt>
                <c:pt idx="3">
                  <c:v>37.5</c:v>
                </c:pt>
                <c:pt idx="4">
                  <c:v>40</c:v>
                </c:pt>
                <c:pt idx="5">
                  <c:v>41</c:v>
                </c:pt>
              </c:numCache>
            </c:numRef>
          </c:yVal>
          <c:smooth val="0"/>
          <c:extLst>
            <c:ext xmlns:c16="http://schemas.microsoft.com/office/drawing/2014/chart" uri="{C3380CC4-5D6E-409C-BE32-E72D297353CC}">
              <c16:uniqueId val="{00000005-E525-404D-9FA9-4B93259E454D}"/>
            </c:ext>
          </c:extLst>
        </c:ser>
        <c:ser>
          <c:idx val="3"/>
          <c:order val="3"/>
          <c:tx>
            <c:strRef>
              <c:f>'Cost Curves S-PSH'!$AI$44:$AI$45</c:f>
              <c:strCache>
                <c:ptCount val="2"/>
                <c:pt idx="0">
                  <c:v>$/kW Average Conditions</c:v>
                </c:pt>
                <c:pt idx="1">
                  <c:v>1350 MW</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olid"/>
              </a:ln>
              <a:effectLst/>
            </c:spPr>
            <c:trendlineType val="poly"/>
            <c:order val="2"/>
            <c:dispRSqr val="0"/>
            <c:dispEq val="1"/>
            <c:trendlineLbl>
              <c:layout>
                <c:manualLayout>
                  <c:x val="-0.40074540989806789"/>
                  <c:y val="0.1297217214881875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S-PSH'!$AE$46:$AE$51</c:f>
              <c:numCache>
                <c:formatCode>General</c:formatCode>
                <c:ptCount val="6"/>
                <c:pt idx="0">
                  <c:v>350</c:v>
                </c:pt>
                <c:pt idx="1">
                  <c:v>500</c:v>
                </c:pt>
                <c:pt idx="2">
                  <c:v>1000</c:v>
                </c:pt>
                <c:pt idx="3">
                  <c:v>1500</c:v>
                </c:pt>
                <c:pt idx="4">
                  <c:v>2000</c:v>
                </c:pt>
                <c:pt idx="5">
                  <c:v>2250</c:v>
                </c:pt>
              </c:numCache>
            </c:numRef>
          </c:xVal>
          <c:yVal>
            <c:numRef>
              <c:f>'Cost Curves S-PSH'!$AI$46:$AI$51</c:f>
              <c:numCache>
                <c:formatCode>General</c:formatCode>
                <c:ptCount val="6"/>
                <c:pt idx="0">
                  <c:v>38</c:v>
                </c:pt>
                <c:pt idx="1">
                  <c:v>36</c:v>
                </c:pt>
                <c:pt idx="2">
                  <c:v>34.5</c:v>
                </c:pt>
                <c:pt idx="3">
                  <c:v>36</c:v>
                </c:pt>
                <c:pt idx="4">
                  <c:v>38</c:v>
                </c:pt>
                <c:pt idx="5">
                  <c:v>38.5</c:v>
                </c:pt>
              </c:numCache>
            </c:numRef>
          </c:yVal>
          <c:smooth val="0"/>
          <c:extLst>
            <c:ext xmlns:c16="http://schemas.microsoft.com/office/drawing/2014/chart" uri="{C3380CC4-5D6E-409C-BE32-E72D297353CC}">
              <c16:uniqueId val="{00000007-E525-404D-9FA9-4B93259E454D}"/>
            </c:ext>
          </c:extLst>
        </c:ser>
        <c:ser>
          <c:idx val="4"/>
          <c:order val="4"/>
          <c:tx>
            <c:strRef>
              <c:f>'Cost Curves S-PSH'!$AJ$44:$AJ$45</c:f>
              <c:strCache>
                <c:ptCount val="2"/>
                <c:pt idx="0">
                  <c:v>$/kW Adverse Conditions</c:v>
                </c:pt>
                <c:pt idx="1">
                  <c:v>450 MW</c:v>
                </c:pt>
              </c:strCache>
            </c:strRef>
          </c:tx>
          <c:spPr>
            <a:ln w="25400" cap="rnd">
              <a:no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poly"/>
            <c:order val="2"/>
            <c:dispRSqr val="0"/>
            <c:dispEq val="1"/>
            <c:trendlineLbl>
              <c:layout>
                <c:manualLayout>
                  <c:x val="2.1150072186694579E-2"/>
                  <c:y val="0.1553613910251435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S-PSH'!$AE$46:$AE$51</c:f>
              <c:numCache>
                <c:formatCode>General</c:formatCode>
                <c:ptCount val="6"/>
                <c:pt idx="0">
                  <c:v>350</c:v>
                </c:pt>
                <c:pt idx="1">
                  <c:v>500</c:v>
                </c:pt>
                <c:pt idx="2">
                  <c:v>1000</c:v>
                </c:pt>
                <c:pt idx="3">
                  <c:v>1500</c:v>
                </c:pt>
                <c:pt idx="4">
                  <c:v>2000</c:v>
                </c:pt>
                <c:pt idx="5">
                  <c:v>2250</c:v>
                </c:pt>
              </c:numCache>
            </c:numRef>
          </c:xVal>
          <c:yVal>
            <c:numRef>
              <c:f>'Cost Curves S-PSH'!$AJ$46:$AJ$51</c:f>
              <c:numCache>
                <c:formatCode>General</c:formatCode>
                <c:ptCount val="6"/>
                <c:pt idx="0">
                  <c:v>73</c:v>
                </c:pt>
                <c:pt idx="1">
                  <c:v>70</c:v>
                </c:pt>
                <c:pt idx="2">
                  <c:v>64</c:v>
                </c:pt>
                <c:pt idx="3">
                  <c:v>62</c:v>
                </c:pt>
                <c:pt idx="4">
                  <c:v>64</c:v>
                </c:pt>
                <c:pt idx="5">
                  <c:v>66</c:v>
                </c:pt>
              </c:numCache>
            </c:numRef>
          </c:yVal>
          <c:smooth val="0"/>
          <c:extLst>
            <c:ext xmlns:c16="http://schemas.microsoft.com/office/drawing/2014/chart" uri="{C3380CC4-5D6E-409C-BE32-E72D297353CC}">
              <c16:uniqueId val="{00000009-E525-404D-9FA9-4B93259E454D}"/>
            </c:ext>
          </c:extLst>
        </c:ser>
        <c:ser>
          <c:idx val="5"/>
          <c:order val="5"/>
          <c:tx>
            <c:strRef>
              <c:f>'Cost Curves S-PSH'!$AK$44:$AK$45</c:f>
              <c:strCache>
                <c:ptCount val="2"/>
                <c:pt idx="0">
                  <c:v>$/kW Adverse Conditions</c:v>
                </c:pt>
                <c:pt idx="1">
                  <c:v>675 MW</c:v>
                </c:pt>
              </c:strCache>
            </c:strRef>
          </c:tx>
          <c:spPr>
            <a:ln w="25400" cap="rnd">
              <a:no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poly"/>
            <c:order val="2"/>
            <c:dispRSqr val="0"/>
            <c:dispEq val="1"/>
            <c:trendlineLbl>
              <c:layout>
                <c:manualLayout>
                  <c:x val="2.1150072186694579E-2"/>
                  <c:y val="0.1461975874807209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S-PSH'!$AE$46:$AE$51</c:f>
              <c:numCache>
                <c:formatCode>General</c:formatCode>
                <c:ptCount val="6"/>
                <c:pt idx="0">
                  <c:v>350</c:v>
                </c:pt>
                <c:pt idx="1">
                  <c:v>500</c:v>
                </c:pt>
                <c:pt idx="2">
                  <c:v>1000</c:v>
                </c:pt>
                <c:pt idx="3">
                  <c:v>1500</c:v>
                </c:pt>
                <c:pt idx="4">
                  <c:v>2000</c:v>
                </c:pt>
                <c:pt idx="5">
                  <c:v>2250</c:v>
                </c:pt>
              </c:numCache>
            </c:numRef>
          </c:xVal>
          <c:yVal>
            <c:numRef>
              <c:f>'Cost Curves S-PSH'!$AK$46:$AK$51</c:f>
              <c:numCache>
                <c:formatCode>General</c:formatCode>
                <c:ptCount val="6"/>
                <c:pt idx="0">
                  <c:v>61.5</c:v>
                </c:pt>
                <c:pt idx="1">
                  <c:v>59</c:v>
                </c:pt>
                <c:pt idx="2">
                  <c:v>55.5</c:v>
                </c:pt>
                <c:pt idx="3">
                  <c:v>55</c:v>
                </c:pt>
                <c:pt idx="4">
                  <c:v>56</c:v>
                </c:pt>
                <c:pt idx="5">
                  <c:v>58</c:v>
                </c:pt>
              </c:numCache>
            </c:numRef>
          </c:yVal>
          <c:smooth val="0"/>
          <c:extLst>
            <c:ext xmlns:c16="http://schemas.microsoft.com/office/drawing/2014/chart" uri="{C3380CC4-5D6E-409C-BE32-E72D297353CC}">
              <c16:uniqueId val="{0000000B-E525-404D-9FA9-4B93259E454D}"/>
            </c:ext>
          </c:extLst>
        </c:ser>
        <c:ser>
          <c:idx val="6"/>
          <c:order val="6"/>
          <c:tx>
            <c:strRef>
              <c:f>'Cost Curves S-PSH'!$AL$44:$AL$45</c:f>
              <c:strCache>
                <c:ptCount val="2"/>
                <c:pt idx="0">
                  <c:v>$/kW Adverse Conditions</c:v>
                </c:pt>
                <c:pt idx="1">
                  <c:v>900 MW</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trendline>
            <c:spPr>
              <a:ln w="19050" cap="rnd">
                <a:solidFill>
                  <a:schemeClr val="accent1">
                    <a:lumMod val="60000"/>
                  </a:schemeClr>
                </a:solidFill>
                <a:prstDash val="sysDot"/>
              </a:ln>
              <a:effectLst/>
            </c:spPr>
            <c:trendlineType val="poly"/>
            <c:order val="2"/>
            <c:dispRSqr val="0"/>
            <c:dispEq val="1"/>
            <c:trendlineLbl>
              <c:layout>
                <c:manualLayout>
                  <c:x val="1.1821203141838963E-2"/>
                  <c:y val="0.1613245608355192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S-PSH'!$AE$46:$AE$51</c:f>
              <c:numCache>
                <c:formatCode>General</c:formatCode>
                <c:ptCount val="6"/>
                <c:pt idx="0">
                  <c:v>350</c:v>
                </c:pt>
                <c:pt idx="1">
                  <c:v>500</c:v>
                </c:pt>
                <c:pt idx="2">
                  <c:v>1000</c:v>
                </c:pt>
                <c:pt idx="3">
                  <c:v>1500</c:v>
                </c:pt>
                <c:pt idx="4">
                  <c:v>2000</c:v>
                </c:pt>
                <c:pt idx="5">
                  <c:v>2250</c:v>
                </c:pt>
              </c:numCache>
            </c:numRef>
          </c:xVal>
          <c:yVal>
            <c:numRef>
              <c:f>'Cost Curves S-PSH'!$AL$46:$AL$51</c:f>
              <c:numCache>
                <c:formatCode>General</c:formatCode>
                <c:ptCount val="6"/>
                <c:pt idx="0">
                  <c:v>56</c:v>
                </c:pt>
                <c:pt idx="1">
                  <c:v>55</c:v>
                </c:pt>
                <c:pt idx="2">
                  <c:v>51</c:v>
                </c:pt>
                <c:pt idx="3">
                  <c:v>50</c:v>
                </c:pt>
                <c:pt idx="4">
                  <c:v>53</c:v>
                </c:pt>
                <c:pt idx="5">
                  <c:v>55</c:v>
                </c:pt>
              </c:numCache>
            </c:numRef>
          </c:yVal>
          <c:smooth val="0"/>
          <c:extLst>
            <c:ext xmlns:c16="http://schemas.microsoft.com/office/drawing/2014/chart" uri="{C3380CC4-5D6E-409C-BE32-E72D297353CC}">
              <c16:uniqueId val="{0000000D-E525-404D-9FA9-4B93259E454D}"/>
            </c:ext>
          </c:extLst>
        </c:ser>
        <c:ser>
          <c:idx val="7"/>
          <c:order val="7"/>
          <c:tx>
            <c:strRef>
              <c:f>'Cost Curves S-PSH'!$AM$44:$AM$45</c:f>
              <c:strCache>
                <c:ptCount val="2"/>
                <c:pt idx="0">
                  <c:v>$/kW Adverse Conditions</c:v>
                </c:pt>
                <c:pt idx="1">
                  <c:v>1350 MW</c:v>
                </c:pt>
              </c:strCache>
            </c:strRef>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trendline>
            <c:spPr>
              <a:ln w="19050" cap="rnd">
                <a:solidFill>
                  <a:schemeClr val="accent2">
                    <a:lumMod val="60000"/>
                  </a:schemeClr>
                </a:solidFill>
                <a:prstDash val="sysDot"/>
              </a:ln>
              <a:effectLst/>
            </c:spPr>
            <c:trendlineType val="poly"/>
            <c:order val="2"/>
            <c:dispRSqr val="0"/>
            <c:dispEq val="1"/>
            <c:trendlineLbl>
              <c:layout>
                <c:manualLayout>
                  <c:x val="1.1821203141838963E-2"/>
                  <c:y val="0.1688358184954319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S-PSH'!$AE$46:$AE$51</c:f>
              <c:numCache>
                <c:formatCode>General</c:formatCode>
                <c:ptCount val="6"/>
                <c:pt idx="0">
                  <c:v>350</c:v>
                </c:pt>
                <c:pt idx="1">
                  <c:v>500</c:v>
                </c:pt>
                <c:pt idx="2">
                  <c:v>1000</c:v>
                </c:pt>
                <c:pt idx="3">
                  <c:v>1500</c:v>
                </c:pt>
                <c:pt idx="4">
                  <c:v>2000</c:v>
                </c:pt>
                <c:pt idx="5">
                  <c:v>2250</c:v>
                </c:pt>
              </c:numCache>
            </c:numRef>
          </c:xVal>
          <c:yVal>
            <c:numRef>
              <c:f>'Cost Curves S-PSH'!$AM$46:$AM$51</c:f>
              <c:numCache>
                <c:formatCode>General</c:formatCode>
                <c:ptCount val="6"/>
                <c:pt idx="0">
                  <c:v>50</c:v>
                </c:pt>
                <c:pt idx="1">
                  <c:v>48</c:v>
                </c:pt>
                <c:pt idx="2">
                  <c:v>46</c:v>
                </c:pt>
                <c:pt idx="3">
                  <c:v>47</c:v>
                </c:pt>
                <c:pt idx="4">
                  <c:v>49</c:v>
                </c:pt>
                <c:pt idx="5">
                  <c:v>50</c:v>
                </c:pt>
              </c:numCache>
            </c:numRef>
          </c:yVal>
          <c:smooth val="0"/>
          <c:extLst>
            <c:ext xmlns:c16="http://schemas.microsoft.com/office/drawing/2014/chart" uri="{C3380CC4-5D6E-409C-BE32-E72D297353CC}">
              <c16:uniqueId val="{0000000F-E525-404D-9FA9-4B93259E454D}"/>
            </c:ext>
          </c:extLst>
        </c:ser>
        <c:dLbls>
          <c:showLegendKey val="0"/>
          <c:showVal val="0"/>
          <c:showCatName val="0"/>
          <c:showSerName val="0"/>
          <c:showPercent val="0"/>
          <c:showBubbleSize val="0"/>
        </c:dLbls>
        <c:axId val="1897995775"/>
        <c:axId val="1914758191"/>
      </c:scatterChart>
      <c:valAx>
        <c:axId val="189799577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4758191"/>
        <c:crosses val="autoZero"/>
        <c:crossBetween val="midCat"/>
      </c:valAx>
      <c:valAx>
        <c:axId val="19147581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79957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baseline="0">
                <a:solidFill>
                  <a:sysClr val="windowText" lastClr="000000">
                    <a:lumMod val="65000"/>
                    <a:lumOff val="35000"/>
                  </a:sysClr>
                </a:solidFill>
              </a:rPr>
              <a:t>Dam Unit Volume per Crest Length, CY/FT x 1000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S-PSH'!$E$86</c:f>
              <c:strCache>
                <c:ptCount val="1"/>
                <c:pt idx="0">
                  <c:v>Unit Cost $/CY</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layout>
                <c:manualLayout>
                  <c:x val="-0.21071325199309429"/>
                  <c:y val="0.2484566829002972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S-PSH'!$A$87:$A$94</c:f>
              <c:numCache>
                <c:formatCode>General</c:formatCode>
                <c:ptCount val="8"/>
                <c:pt idx="0">
                  <c:v>25</c:v>
                </c:pt>
                <c:pt idx="1">
                  <c:v>50</c:v>
                </c:pt>
                <c:pt idx="2">
                  <c:v>100</c:v>
                </c:pt>
                <c:pt idx="3">
                  <c:v>150</c:v>
                </c:pt>
                <c:pt idx="4">
                  <c:v>200</c:v>
                </c:pt>
                <c:pt idx="5">
                  <c:v>250</c:v>
                </c:pt>
                <c:pt idx="6">
                  <c:v>300</c:v>
                </c:pt>
                <c:pt idx="7">
                  <c:v>350</c:v>
                </c:pt>
              </c:numCache>
            </c:numRef>
          </c:xVal>
          <c:yVal>
            <c:numRef>
              <c:f>'Cost Curves S-PSH'!$B$87:$B$94</c:f>
              <c:numCache>
                <c:formatCode>General</c:formatCode>
                <c:ptCount val="8"/>
                <c:pt idx="0">
                  <c:v>0.2</c:v>
                </c:pt>
                <c:pt idx="1">
                  <c:v>0.5</c:v>
                </c:pt>
                <c:pt idx="2">
                  <c:v>1.4</c:v>
                </c:pt>
                <c:pt idx="3">
                  <c:v>2.7</c:v>
                </c:pt>
                <c:pt idx="4">
                  <c:v>4.4000000000000004</c:v>
                </c:pt>
                <c:pt idx="5">
                  <c:v>6.7</c:v>
                </c:pt>
                <c:pt idx="6">
                  <c:v>9.4</c:v>
                </c:pt>
                <c:pt idx="7">
                  <c:v>12.5</c:v>
                </c:pt>
              </c:numCache>
            </c:numRef>
          </c:yVal>
          <c:smooth val="0"/>
          <c:extLst>
            <c:ext xmlns:c16="http://schemas.microsoft.com/office/drawing/2014/chart" uri="{C3380CC4-5D6E-409C-BE32-E72D297353CC}">
              <c16:uniqueId val="{00000001-21AC-A648-A6D8-A17C55989341}"/>
            </c:ext>
          </c:extLst>
        </c:ser>
        <c:dLbls>
          <c:showLegendKey val="0"/>
          <c:showVal val="0"/>
          <c:showCatName val="0"/>
          <c:showSerName val="0"/>
          <c:showPercent val="0"/>
          <c:showBubbleSize val="0"/>
        </c:dLbls>
        <c:axId val="1916112255"/>
        <c:axId val="1916460879"/>
      </c:scatterChart>
      <c:valAx>
        <c:axId val="191611225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 Dam Height</a:t>
                </a:r>
                <a:r>
                  <a:rPr lang="en-US" baseline="0"/>
                  <a:t> in ft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6460879"/>
        <c:crosses val="autoZero"/>
        <c:crossBetween val="midCat"/>
      </c:valAx>
      <c:valAx>
        <c:axId val="19164608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Unit Volume, CY/FT x 1000</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611225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 of 1 </a:t>
            </a:r>
            <a:r>
              <a:rPr lang="en-US" baseline="0"/>
              <a:t>Intake, $ Million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S-PSH'!$L$86</c:f>
              <c:strCache>
                <c:ptCount val="1"/>
                <c:pt idx="0">
                  <c:v>Horizontal Intake</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S-PSH'!$K$87:$K$92</c:f>
              <c:numCache>
                <c:formatCode>General</c:formatCode>
                <c:ptCount val="6"/>
                <c:pt idx="0">
                  <c:v>10</c:v>
                </c:pt>
                <c:pt idx="1">
                  <c:v>15</c:v>
                </c:pt>
                <c:pt idx="2">
                  <c:v>20</c:v>
                </c:pt>
                <c:pt idx="3">
                  <c:v>25</c:v>
                </c:pt>
                <c:pt idx="4">
                  <c:v>30</c:v>
                </c:pt>
                <c:pt idx="5">
                  <c:v>35</c:v>
                </c:pt>
              </c:numCache>
            </c:numRef>
          </c:xVal>
          <c:yVal>
            <c:numRef>
              <c:f>'Cost Curves S-PSH'!$L$87:$L$92</c:f>
              <c:numCache>
                <c:formatCode>General</c:formatCode>
                <c:ptCount val="6"/>
                <c:pt idx="0">
                  <c:v>1.3</c:v>
                </c:pt>
                <c:pt idx="1">
                  <c:v>2.5</c:v>
                </c:pt>
                <c:pt idx="2">
                  <c:v>4.2</c:v>
                </c:pt>
                <c:pt idx="3">
                  <c:v>6.4</c:v>
                </c:pt>
                <c:pt idx="4">
                  <c:v>9.6</c:v>
                </c:pt>
                <c:pt idx="5">
                  <c:v>13.9</c:v>
                </c:pt>
              </c:numCache>
            </c:numRef>
          </c:yVal>
          <c:smooth val="0"/>
          <c:extLst>
            <c:ext xmlns:c16="http://schemas.microsoft.com/office/drawing/2014/chart" uri="{C3380CC4-5D6E-409C-BE32-E72D297353CC}">
              <c16:uniqueId val="{00000001-B61F-0C4B-ADA6-7819D922343E}"/>
            </c:ext>
          </c:extLst>
        </c:ser>
        <c:ser>
          <c:idx val="1"/>
          <c:order val="1"/>
          <c:tx>
            <c:strRef>
              <c:f>'Cost Curves S-PSH'!$M$86</c:f>
              <c:strCache>
                <c:ptCount val="1"/>
                <c:pt idx="0">
                  <c:v>Vertical Intake</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S-PSH'!$K$87:$K$92</c:f>
              <c:numCache>
                <c:formatCode>General</c:formatCode>
                <c:ptCount val="6"/>
                <c:pt idx="0">
                  <c:v>10</c:v>
                </c:pt>
                <c:pt idx="1">
                  <c:v>15</c:v>
                </c:pt>
                <c:pt idx="2">
                  <c:v>20</c:v>
                </c:pt>
                <c:pt idx="3">
                  <c:v>25</c:v>
                </c:pt>
                <c:pt idx="4">
                  <c:v>30</c:v>
                </c:pt>
                <c:pt idx="5">
                  <c:v>35</c:v>
                </c:pt>
              </c:numCache>
            </c:numRef>
          </c:xVal>
          <c:yVal>
            <c:numRef>
              <c:f>'Cost Curves S-PSH'!$M$87:$M$92</c:f>
              <c:numCache>
                <c:formatCode>General</c:formatCode>
                <c:ptCount val="6"/>
                <c:pt idx="0">
                  <c:v>0.2</c:v>
                </c:pt>
                <c:pt idx="1">
                  <c:v>0.45</c:v>
                </c:pt>
                <c:pt idx="2">
                  <c:v>0.9</c:v>
                </c:pt>
                <c:pt idx="3">
                  <c:v>1.3</c:v>
                </c:pt>
                <c:pt idx="4">
                  <c:v>2.2999999999999998</c:v>
                </c:pt>
                <c:pt idx="5">
                  <c:v>3.4</c:v>
                </c:pt>
              </c:numCache>
            </c:numRef>
          </c:yVal>
          <c:smooth val="0"/>
          <c:extLst>
            <c:ext xmlns:c16="http://schemas.microsoft.com/office/drawing/2014/chart" uri="{C3380CC4-5D6E-409C-BE32-E72D297353CC}">
              <c16:uniqueId val="{00000003-B61F-0C4B-ADA6-7819D922343E}"/>
            </c:ext>
          </c:extLst>
        </c:ser>
        <c:dLbls>
          <c:showLegendKey val="0"/>
          <c:showVal val="0"/>
          <c:showCatName val="0"/>
          <c:showSerName val="0"/>
          <c:showPercent val="0"/>
          <c:showBubbleSize val="0"/>
        </c:dLbls>
        <c:axId val="1949078559"/>
        <c:axId val="1895888895"/>
      </c:scatterChart>
      <c:valAx>
        <c:axId val="19490785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Water Conductor Diamter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5888895"/>
        <c:crosses val="autoZero"/>
        <c:crossBetween val="midCat"/>
      </c:valAx>
      <c:valAx>
        <c:axId val="18958888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MM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90785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Concrete Lined Water Conductor Cost $/LF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S-PSH'!$V$86:$V$87</c:f>
              <c:strCache>
                <c:ptCount val="2"/>
                <c:pt idx="0">
                  <c:v>$/LF Average Tunneling Conditions</c:v>
                </c:pt>
                <c:pt idx="1">
                  <c:v>1/2 Mile</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olid"/>
              </a:ln>
              <a:effectLst/>
            </c:spPr>
            <c:trendlineType val="poly"/>
            <c:order val="2"/>
            <c:dispRSqr val="0"/>
            <c:dispEq val="1"/>
            <c:trendlineLbl>
              <c:layout>
                <c:manualLayout>
                  <c:x val="8.2482227227692911E-2"/>
                  <c:y val="6.252947473789487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S-PSH'!$U$88:$U$93</c:f>
              <c:numCache>
                <c:formatCode>General</c:formatCode>
                <c:ptCount val="6"/>
                <c:pt idx="0">
                  <c:v>10</c:v>
                </c:pt>
                <c:pt idx="1">
                  <c:v>15</c:v>
                </c:pt>
                <c:pt idx="2">
                  <c:v>20</c:v>
                </c:pt>
                <c:pt idx="3">
                  <c:v>25</c:v>
                </c:pt>
                <c:pt idx="4">
                  <c:v>30</c:v>
                </c:pt>
                <c:pt idx="5">
                  <c:v>35</c:v>
                </c:pt>
              </c:numCache>
            </c:numRef>
          </c:xVal>
          <c:yVal>
            <c:numRef>
              <c:f>'Cost Curves S-PSH'!$V$88:$V$93</c:f>
              <c:numCache>
                <c:formatCode>General</c:formatCode>
                <c:ptCount val="6"/>
                <c:pt idx="0">
                  <c:v>1000</c:v>
                </c:pt>
                <c:pt idx="1">
                  <c:v>1500</c:v>
                </c:pt>
                <c:pt idx="2">
                  <c:v>2200</c:v>
                </c:pt>
                <c:pt idx="3">
                  <c:v>3200</c:v>
                </c:pt>
                <c:pt idx="4">
                  <c:v>4400</c:v>
                </c:pt>
                <c:pt idx="5">
                  <c:v>5600</c:v>
                </c:pt>
              </c:numCache>
            </c:numRef>
          </c:yVal>
          <c:smooth val="0"/>
          <c:extLst>
            <c:ext xmlns:c16="http://schemas.microsoft.com/office/drawing/2014/chart" uri="{C3380CC4-5D6E-409C-BE32-E72D297353CC}">
              <c16:uniqueId val="{00000001-B58A-2B46-9F70-D1D42904A64B}"/>
            </c:ext>
          </c:extLst>
        </c:ser>
        <c:ser>
          <c:idx val="1"/>
          <c:order val="1"/>
          <c:tx>
            <c:strRef>
              <c:f>'Cost Curves S-PSH'!$W$86:$W$87</c:f>
              <c:strCache>
                <c:ptCount val="2"/>
                <c:pt idx="0">
                  <c:v>$/LF Average Tunneling Conditions</c:v>
                </c:pt>
                <c:pt idx="1">
                  <c:v>1 Mile</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olid"/>
              </a:ln>
              <a:effectLst/>
            </c:spPr>
            <c:trendlineType val="poly"/>
            <c:order val="2"/>
            <c:dispRSqr val="0"/>
            <c:dispEq val="1"/>
            <c:trendlineLbl>
              <c:layout>
                <c:manualLayout>
                  <c:x val="5.1019333545321718E-2"/>
                  <c:y val="9.697770112474513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S-PSH'!$U$88:$U$93</c:f>
              <c:numCache>
                <c:formatCode>General</c:formatCode>
                <c:ptCount val="6"/>
                <c:pt idx="0">
                  <c:v>10</c:v>
                </c:pt>
                <c:pt idx="1">
                  <c:v>15</c:v>
                </c:pt>
                <c:pt idx="2">
                  <c:v>20</c:v>
                </c:pt>
                <c:pt idx="3">
                  <c:v>25</c:v>
                </c:pt>
                <c:pt idx="4">
                  <c:v>30</c:v>
                </c:pt>
                <c:pt idx="5">
                  <c:v>35</c:v>
                </c:pt>
              </c:numCache>
            </c:numRef>
          </c:xVal>
          <c:yVal>
            <c:numRef>
              <c:f>'Cost Curves S-PSH'!$W$88:$W$93</c:f>
              <c:numCache>
                <c:formatCode>General</c:formatCode>
                <c:ptCount val="6"/>
                <c:pt idx="0">
                  <c:v>1200</c:v>
                </c:pt>
                <c:pt idx="1">
                  <c:v>1700</c:v>
                </c:pt>
                <c:pt idx="2">
                  <c:v>2400</c:v>
                </c:pt>
                <c:pt idx="3">
                  <c:v>3400</c:v>
                </c:pt>
                <c:pt idx="4">
                  <c:v>4550</c:v>
                </c:pt>
                <c:pt idx="5">
                  <c:v>5900</c:v>
                </c:pt>
              </c:numCache>
            </c:numRef>
          </c:yVal>
          <c:smooth val="0"/>
          <c:extLst>
            <c:ext xmlns:c16="http://schemas.microsoft.com/office/drawing/2014/chart" uri="{C3380CC4-5D6E-409C-BE32-E72D297353CC}">
              <c16:uniqueId val="{00000003-B58A-2B46-9F70-D1D42904A64B}"/>
            </c:ext>
          </c:extLst>
        </c:ser>
        <c:ser>
          <c:idx val="2"/>
          <c:order val="2"/>
          <c:tx>
            <c:strRef>
              <c:f>'Cost Curves S-PSH'!$X$86:$X$87</c:f>
              <c:strCache>
                <c:ptCount val="2"/>
                <c:pt idx="0">
                  <c:v>$/LF Average Tunneling Conditions</c:v>
                </c:pt>
                <c:pt idx="1">
                  <c:v>2 Mile</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olid"/>
              </a:ln>
              <a:effectLst/>
            </c:spPr>
            <c:trendlineType val="poly"/>
            <c:order val="2"/>
            <c:dispRSqr val="0"/>
            <c:dispEq val="1"/>
            <c:trendlineLbl>
              <c:layout>
                <c:manualLayout>
                  <c:x val="8.0599484070708688E-2"/>
                  <c:y val="0.1338338913521499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S-PSH'!$U$88:$U$93</c:f>
              <c:numCache>
                <c:formatCode>General</c:formatCode>
                <c:ptCount val="6"/>
                <c:pt idx="0">
                  <c:v>10</c:v>
                </c:pt>
                <c:pt idx="1">
                  <c:v>15</c:v>
                </c:pt>
                <c:pt idx="2">
                  <c:v>20</c:v>
                </c:pt>
                <c:pt idx="3">
                  <c:v>25</c:v>
                </c:pt>
                <c:pt idx="4">
                  <c:v>30</c:v>
                </c:pt>
                <c:pt idx="5">
                  <c:v>35</c:v>
                </c:pt>
              </c:numCache>
            </c:numRef>
          </c:xVal>
          <c:yVal>
            <c:numRef>
              <c:f>'Cost Curves S-PSH'!$X$88:$X$93</c:f>
              <c:numCache>
                <c:formatCode>General</c:formatCode>
                <c:ptCount val="6"/>
                <c:pt idx="0">
                  <c:v>1300</c:v>
                </c:pt>
                <c:pt idx="1">
                  <c:v>1800</c:v>
                </c:pt>
                <c:pt idx="2">
                  <c:v>2500</c:v>
                </c:pt>
                <c:pt idx="3">
                  <c:v>3550</c:v>
                </c:pt>
                <c:pt idx="4">
                  <c:v>4975</c:v>
                </c:pt>
                <c:pt idx="5">
                  <c:v>6450</c:v>
                </c:pt>
              </c:numCache>
            </c:numRef>
          </c:yVal>
          <c:smooth val="0"/>
          <c:extLst>
            <c:ext xmlns:c16="http://schemas.microsoft.com/office/drawing/2014/chart" uri="{C3380CC4-5D6E-409C-BE32-E72D297353CC}">
              <c16:uniqueId val="{00000005-B58A-2B46-9F70-D1D42904A64B}"/>
            </c:ext>
          </c:extLst>
        </c:ser>
        <c:ser>
          <c:idx val="3"/>
          <c:order val="3"/>
          <c:tx>
            <c:strRef>
              <c:f>'Cost Curves S-PSH'!$Y$86:$Y$87</c:f>
              <c:strCache>
                <c:ptCount val="2"/>
                <c:pt idx="0">
                  <c:v>$/LF Average Tunneling Conditions</c:v>
                </c:pt>
                <c:pt idx="1">
                  <c:v>4 Mile</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olid"/>
              </a:ln>
              <a:effectLst/>
            </c:spPr>
            <c:trendlineType val="poly"/>
            <c:order val="2"/>
            <c:dispRSqr val="0"/>
            <c:dispEq val="1"/>
            <c:trendlineLbl>
              <c:layout>
                <c:manualLayout>
                  <c:x val="7.8002455929761641E-2"/>
                  <c:y val="0.181306855003631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S-PSH'!$U$88:$U$93</c:f>
              <c:numCache>
                <c:formatCode>General</c:formatCode>
                <c:ptCount val="6"/>
                <c:pt idx="0">
                  <c:v>10</c:v>
                </c:pt>
                <c:pt idx="1">
                  <c:v>15</c:v>
                </c:pt>
                <c:pt idx="2">
                  <c:v>20</c:v>
                </c:pt>
                <c:pt idx="3">
                  <c:v>25</c:v>
                </c:pt>
                <c:pt idx="4">
                  <c:v>30</c:v>
                </c:pt>
                <c:pt idx="5">
                  <c:v>35</c:v>
                </c:pt>
              </c:numCache>
            </c:numRef>
          </c:xVal>
          <c:yVal>
            <c:numRef>
              <c:f>'Cost Curves S-PSH'!$Y$88:$Y$93</c:f>
              <c:numCache>
                <c:formatCode>General</c:formatCode>
                <c:ptCount val="6"/>
                <c:pt idx="0">
                  <c:v>1400</c:v>
                </c:pt>
                <c:pt idx="1">
                  <c:v>1900</c:v>
                </c:pt>
                <c:pt idx="2">
                  <c:v>2700</c:v>
                </c:pt>
                <c:pt idx="3">
                  <c:v>3900</c:v>
                </c:pt>
                <c:pt idx="4">
                  <c:v>5450</c:v>
                </c:pt>
                <c:pt idx="5">
                  <c:v>7500</c:v>
                </c:pt>
              </c:numCache>
            </c:numRef>
          </c:yVal>
          <c:smooth val="0"/>
          <c:extLst>
            <c:ext xmlns:c16="http://schemas.microsoft.com/office/drawing/2014/chart" uri="{C3380CC4-5D6E-409C-BE32-E72D297353CC}">
              <c16:uniqueId val="{00000007-B58A-2B46-9F70-D1D42904A64B}"/>
            </c:ext>
          </c:extLst>
        </c:ser>
        <c:ser>
          <c:idx val="4"/>
          <c:order val="4"/>
          <c:tx>
            <c:strRef>
              <c:f>'Cost Curves S-PSH'!$Z$86:$Z$87</c:f>
              <c:strCache>
                <c:ptCount val="2"/>
                <c:pt idx="0">
                  <c:v>$/LF Poor Tunneling Conditions</c:v>
                </c:pt>
                <c:pt idx="1">
                  <c:v>1/2 Mile</c:v>
                </c:pt>
              </c:strCache>
            </c:strRef>
          </c:tx>
          <c:spPr>
            <a:ln w="25400" cap="rnd">
              <a:no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poly"/>
            <c:order val="2"/>
            <c:dispRSqr val="0"/>
            <c:dispEq val="1"/>
            <c:trendlineLbl>
              <c:layout>
                <c:manualLayout>
                  <c:x val="-0.20868348054938393"/>
                  <c:y val="-6.859111078850384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S-PSH'!$U$88:$U$93</c:f>
              <c:numCache>
                <c:formatCode>General</c:formatCode>
                <c:ptCount val="6"/>
                <c:pt idx="0">
                  <c:v>10</c:v>
                </c:pt>
                <c:pt idx="1">
                  <c:v>15</c:v>
                </c:pt>
                <c:pt idx="2">
                  <c:v>20</c:v>
                </c:pt>
                <c:pt idx="3">
                  <c:v>25</c:v>
                </c:pt>
                <c:pt idx="4">
                  <c:v>30</c:v>
                </c:pt>
                <c:pt idx="5">
                  <c:v>35</c:v>
                </c:pt>
              </c:numCache>
            </c:numRef>
          </c:xVal>
          <c:yVal>
            <c:numRef>
              <c:f>'Cost Curves S-PSH'!$Z$88:$Z$93</c:f>
              <c:numCache>
                <c:formatCode>General</c:formatCode>
                <c:ptCount val="6"/>
                <c:pt idx="0">
                  <c:v>1400</c:v>
                </c:pt>
                <c:pt idx="1">
                  <c:v>2200</c:v>
                </c:pt>
                <c:pt idx="2">
                  <c:v>3200</c:v>
                </c:pt>
                <c:pt idx="3">
                  <c:v>4600</c:v>
                </c:pt>
                <c:pt idx="4">
                  <c:v>6500</c:v>
                </c:pt>
                <c:pt idx="5">
                  <c:v>8450</c:v>
                </c:pt>
              </c:numCache>
            </c:numRef>
          </c:yVal>
          <c:smooth val="0"/>
          <c:extLst>
            <c:ext xmlns:c16="http://schemas.microsoft.com/office/drawing/2014/chart" uri="{C3380CC4-5D6E-409C-BE32-E72D297353CC}">
              <c16:uniqueId val="{00000009-B58A-2B46-9F70-D1D42904A64B}"/>
            </c:ext>
          </c:extLst>
        </c:ser>
        <c:ser>
          <c:idx val="5"/>
          <c:order val="5"/>
          <c:tx>
            <c:strRef>
              <c:f>'Cost Curves S-PSH'!$AA$86:$AA$87</c:f>
              <c:strCache>
                <c:ptCount val="2"/>
                <c:pt idx="0">
                  <c:v>$/LF Poor Tunneling Conditions</c:v>
                </c:pt>
                <c:pt idx="1">
                  <c:v>1 Mile</c:v>
                </c:pt>
              </c:strCache>
            </c:strRef>
          </c:tx>
          <c:spPr>
            <a:ln w="25400" cap="rnd">
              <a:noFill/>
              <a:round/>
            </a:ln>
            <a:effectLst/>
          </c:spPr>
          <c:marker>
            <c:symbol val="circle"/>
            <c:size val="5"/>
            <c:spPr>
              <a:solidFill>
                <a:schemeClr val="accent6"/>
              </a:solidFill>
              <a:ln w="9525">
                <a:solidFill>
                  <a:schemeClr val="accent6"/>
                </a:solidFill>
              </a:ln>
              <a:effectLst/>
            </c:spPr>
          </c:marker>
          <c:trendline>
            <c:spPr>
              <a:ln w="19050" cap="rnd">
                <a:solidFill>
                  <a:schemeClr val="accent6"/>
                </a:solidFill>
                <a:prstDash val="sysDot"/>
              </a:ln>
              <a:effectLst/>
            </c:spPr>
            <c:trendlineType val="poly"/>
            <c:order val="2"/>
            <c:dispRSqr val="0"/>
            <c:dispEq val="1"/>
            <c:trendlineLbl>
              <c:layout>
                <c:manualLayout>
                  <c:x val="-0.20350251165339694"/>
                  <c:y val="-2.866889584426298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S-PSH'!$U$88:$U$93</c:f>
              <c:numCache>
                <c:formatCode>General</c:formatCode>
                <c:ptCount val="6"/>
                <c:pt idx="0">
                  <c:v>10</c:v>
                </c:pt>
                <c:pt idx="1">
                  <c:v>15</c:v>
                </c:pt>
                <c:pt idx="2">
                  <c:v>20</c:v>
                </c:pt>
                <c:pt idx="3">
                  <c:v>25</c:v>
                </c:pt>
                <c:pt idx="4">
                  <c:v>30</c:v>
                </c:pt>
                <c:pt idx="5">
                  <c:v>35</c:v>
                </c:pt>
              </c:numCache>
            </c:numRef>
          </c:xVal>
          <c:yVal>
            <c:numRef>
              <c:f>'Cost Curves S-PSH'!$AA$88:$AA$93</c:f>
              <c:numCache>
                <c:formatCode>General</c:formatCode>
                <c:ptCount val="6"/>
                <c:pt idx="0">
                  <c:v>1500</c:v>
                </c:pt>
                <c:pt idx="1">
                  <c:v>2400</c:v>
                </c:pt>
                <c:pt idx="2">
                  <c:v>3450</c:v>
                </c:pt>
                <c:pt idx="3">
                  <c:v>4900</c:v>
                </c:pt>
                <c:pt idx="4">
                  <c:v>6700</c:v>
                </c:pt>
                <c:pt idx="5">
                  <c:v>8750</c:v>
                </c:pt>
              </c:numCache>
            </c:numRef>
          </c:yVal>
          <c:smooth val="0"/>
          <c:extLst>
            <c:ext xmlns:c16="http://schemas.microsoft.com/office/drawing/2014/chart" uri="{C3380CC4-5D6E-409C-BE32-E72D297353CC}">
              <c16:uniqueId val="{0000000B-B58A-2B46-9F70-D1D42904A64B}"/>
            </c:ext>
          </c:extLst>
        </c:ser>
        <c:ser>
          <c:idx val="6"/>
          <c:order val="6"/>
          <c:tx>
            <c:strRef>
              <c:f>'Cost Curves S-PSH'!$AB$86:$AB$87</c:f>
              <c:strCache>
                <c:ptCount val="2"/>
                <c:pt idx="0">
                  <c:v>$/LF Poor Tunneling Conditions</c:v>
                </c:pt>
                <c:pt idx="1">
                  <c:v>2 Mile</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trendline>
            <c:spPr>
              <a:ln w="19050" cap="rnd">
                <a:solidFill>
                  <a:schemeClr val="accent1">
                    <a:lumMod val="60000"/>
                  </a:schemeClr>
                </a:solidFill>
                <a:prstDash val="sysDot"/>
              </a:ln>
              <a:effectLst/>
            </c:spPr>
            <c:trendlineType val="poly"/>
            <c:order val="2"/>
            <c:dispRSqr val="0"/>
            <c:dispEq val="1"/>
            <c:trendlineLbl>
              <c:layout>
                <c:manualLayout>
                  <c:x val="-0.17981761500795979"/>
                  <c:y val="2.2237806857828859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S-PSH'!$U$88:$U$93</c:f>
              <c:numCache>
                <c:formatCode>General</c:formatCode>
                <c:ptCount val="6"/>
                <c:pt idx="0">
                  <c:v>10</c:v>
                </c:pt>
                <c:pt idx="1">
                  <c:v>15</c:v>
                </c:pt>
                <c:pt idx="2">
                  <c:v>20</c:v>
                </c:pt>
                <c:pt idx="3">
                  <c:v>25</c:v>
                </c:pt>
                <c:pt idx="4">
                  <c:v>30</c:v>
                </c:pt>
                <c:pt idx="5">
                  <c:v>35</c:v>
                </c:pt>
              </c:numCache>
            </c:numRef>
          </c:xVal>
          <c:yVal>
            <c:numRef>
              <c:f>'Cost Curves S-PSH'!$AB$88:$AB$93</c:f>
              <c:numCache>
                <c:formatCode>General</c:formatCode>
                <c:ptCount val="6"/>
                <c:pt idx="0">
                  <c:v>1550</c:v>
                </c:pt>
                <c:pt idx="1">
                  <c:v>2500</c:v>
                </c:pt>
                <c:pt idx="2">
                  <c:v>3600</c:v>
                </c:pt>
                <c:pt idx="3">
                  <c:v>5200</c:v>
                </c:pt>
                <c:pt idx="4">
                  <c:v>7400</c:v>
                </c:pt>
                <c:pt idx="5">
                  <c:v>9350</c:v>
                </c:pt>
              </c:numCache>
            </c:numRef>
          </c:yVal>
          <c:smooth val="0"/>
          <c:extLst>
            <c:ext xmlns:c16="http://schemas.microsoft.com/office/drawing/2014/chart" uri="{C3380CC4-5D6E-409C-BE32-E72D297353CC}">
              <c16:uniqueId val="{0000000D-B58A-2B46-9F70-D1D42904A64B}"/>
            </c:ext>
          </c:extLst>
        </c:ser>
        <c:ser>
          <c:idx val="7"/>
          <c:order val="7"/>
          <c:tx>
            <c:strRef>
              <c:f>'Cost Curves S-PSH'!$AC$86:$AC$87</c:f>
              <c:strCache>
                <c:ptCount val="2"/>
                <c:pt idx="0">
                  <c:v>$/LF Poor Tunneling Conditions</c:v>
                </c:pt>
                <c:pt idx="1">
                  <c:v>4 Mile</c:v>
                </c:pt>
              </c:strCache>
            </c:strRef>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trendline>
            <c:spPr>
              <a:ln w="19050" cap="rnd">
                <a:solidFill>
                  <a:schemeClr val="accent2">
                    <a:lumMod val="60000"/>
                  </a:schemeClr>
                </a:solidFill>
                <a:prstDash val="sysDot"/>
              </a:ln>
              <a:effectLst/>
            </c:spPr>
            <c:trendlineType val="poly"/>
            <c:order val="2"/>
            <c:dispRSqr val="0"/>
            <c:dispEq val="1"/>
            <c:trendlineLbl>
              <c:layout>
                <c:manualLayout>
                  <c:x val="-0.17910333002399695"/>
                  <c:y val="8.8072581419820703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S-PSH'!$U$88:$U$93</c:f>
              <c:numCache>
                <c:formatCode>General</c:formatCode>
                <c:ptCount val="6"/>
                <c:pt idx="0">
                  <c:v>10</c:v>
                </c:pt>
                <c:pt idx="1">
                  <c:v>15</c:v>
                </c:pt>
                <c:pt idx="2">
                  <c:v>20</c:v>
                </c:pt>
                <c:pt idx="3">
                  <c:v>25</c:v>
                </c:pt>
                <c:pt idx="4">
                  <c:v>30</c:v>
                </c:pt>
                <c:pt idx="5">
                  <c:v>35</c:v>
                </c:pt>
              </c:numCache>
            </c:numRef>
          </c:xVal>
          <c:yVal>
            <c:numRef>
              <c:f>'Cost Curves S-PSH'!$AC$88:$AC$93</c:f>
              <c:numCache>
                <c:formatCode>General</c:formatCode>
                <c:ptCount val="6"/>
                <c:pt idx="0">
                  <c:v>1600</c:v>
                </c:pt>
                <c:pt idx="1">
                  <c:v>2600</c:v>
                </c:pt>
                <c:pt idx="2">
                  <c:v>3900</c:v>
                </c:pt>
                <c:pt idx="3">
                  <c:v>5600</c:v>
                </c:pt>
                <c:pt idx="4">
                  <c:v>8100</c:v>
                </c:pt>
                <c:pt idx="5">
                  <c:v>11250</c:v>
                </c:pt>
              </c:numCache>
            </c:numRef>
          </c:yVal>
          <c:smooth val="0"/>
          <c:extLst>
            <c:ext xmlns:c16="http://schemas.microsoft.com/office/drawing/2014/chart" uri="{C3380CC4-5D6E-409C-BE32-E72D297353CC}">
              <c16:uniqueId val="{0000000F-B58A-2B46-9F70-D1D42904A64B}"/>
            </c:ext>
          </c:extLst>
        </c:ser>
        <c:dLbls>
          <c:showLegendKey val="0"/>
          <c:showVal val="0"/>
          <c:showCatName val="0"/>
          <c:showSerName val="0"/>
          <c:showPercent val="0"/>
          <c:showBubbleSize val="0"/>
        </c:dLbls>
        <c:axId val="1897897951"/>
        <c:axId val="1966328783"/>
      </c:scatterChart>
      <c:valAx>
        <c:axId val="189789795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Tunnel Diameter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6328783"/>
        <c:crosses val="autoZero"/>
        <c:crossBetween val="midCat"/>
      </c:valAx>
      <c:valAx>
        <c:axId val="19663287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78979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Vertical Shaft $/LF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S-PSH'!$AF$86</c:f>
              <c:strCache>
                <c:ptCount val="1"/>
                <c:pt idx="0">
                  <c:v>$/LF</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S-PSH'!$AE$87:$AE$92</c:f>
              <c:numCache>
                <c:formatCode>General</c:formatCode>
                <c:ptCount val="6"/>
                <c:pt idx="0">
                  <c:v>10</c:v>
                </c:pt>
                <c:pt idx="1">
                  <c:v>15</c:v>
                </c:pt>
                <c:pt idx="2">
                  <c:v>20</c:v>
                </c:pt>
                <c:pt idx="3">
                  <c:v>25</c:v>
                </c:pt>
                <c:pt idx="4">
                  <c:v>30</c:v>
                </c:pt>
                <c:pt idx="5">
                  <c:v>35</c:v>
                </c:pt>
              </c:numCache>
            </c:numRef>
          </c:xVal>
          <c:yVal>
            <c:numRef>
              <c:f>'Cost Curves S-PSH'!$AF$87:$AF$92</c:f>
              <c:numCache>
                <c:formatCode>General</c:formatCode>
                <c:ptCount val="6"/>
                <c:pt idx="0">
                  <c:v>1950</c:v>
                </c:pt>
                <c:pt idx="1">
                  <c:v>2800</c:v>
                </c:pt>
                <c:pt idx="2">
                  <c:v>3700</c:v>
                </c:pt>
                <c:pt idx="3">
                  <c:v>4700</c:v>
                </c:pt>
                <c:pt idx="4">
                  <c:v>5600</c:v>
                </c:pt>
                <c:pt idx="5">
                  <c:v>6600</c:v>
                </c:pt>
              </c:numCache>
            </c:numRef>
          </c:yVal>
          <c:smooth val="0"/>
          <c:extLst>
            <c:ext xmlns:c16="http://schemas.microsoft.com/office/drawing/2014/chart" uri="{C3380CC4-5D6E-409C-BE32-E72D297353CC}">
              <c16:uniqueId val="{00000001-7D83-6D49-A423-0C4F4D855D75}"/>
            </c:ext>
          </c:extLst>
        </c:ser>
        <c:dLbls>
          <c:showLegendKey val="0"/>
          <c:showVal val="0"/>
          <c:showCatName val="0"/>
          <c:showSerName val="0"/>
          <c:showPercent val="0"/>
          <c:showBubbleSize val="0"/>
        </c:dLbls>
        <c:axId val="1872552847"/>
        <c:axId val="1900747055"/>
      </c:scatterChart>
      <c:valAx>
        <c:axId val="187255284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Tunnel Diameter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0747055"/>
        <c:crosses val="autoZero"/>
        <c:crossBetween val="midCat"/>
      </c:valAx>
      <c:valAx>
        <c:axId val="19007470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255284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 of Pennstocks and Draft Tube Tunnels $/Ft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S-PSH'!$B$123</c:f>
              <c:strCache>
                <c:ptCount val="1"/>
                <c:pt idx="0">
                  <c:v>500 Ft</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0"/>
            <c:dispEq val="1"/>
            <c:trendlineLbl>
              <c:layout>
                <c:manualLayout>
                  <c:x val="1.9018637522466937E-3"/>
                  <c:y val="0.1625117372859116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S-PSH'!$A$124:$A$129</c:f>
              <c:numCache>
                <c:formatCode>General</c:formatCode>
                <c:ptCount val="6"/>
                <c:pt idx="0">
                  <c:v>5</c:v>
                </c:pt>
                <c:pt idx="1">
                  <c:v>10</c:v>
                </c:pt>
                <c:pt idx="2">
                  <c:v>15</c:v>
                </c:pt>
                <c:pt idx="3">
                  <c:v>20</c:v>
                </c:pt>
                <c:pt idx="4">
                  <c:v>25</c:v>
                </c:pt>
                <c:pt idx="5">
                  <c:v>30</c:v>
                </c:pt>
              </c:numCache>
            </c:numRef>
          </c:xVal>
          <c:yVal>
            <c:numRef>
              <c:f>'Cost Curves S-PSH'!$B$124:$B$129</c:f>
              <c:numCache>
                <c:formatCode>General</c:formatCode>
                <c:ptCount val="6"/>
                <c:pt idx="1">
                  <c:v>2200</c:v>
                </c:pt>
                <c:pt idx="2">
                  <c:v>4100</c:v>
                </c:pt>
                <c:pt idx="3">
                  <c:v>6900</c:v>
                </c:pt>
                <c:pt idx="4">
                  <c:v>10000</c:v>
                </c:pt>
              </c:numCache>
            </c:numRef>
          </c:yVal>
          <c:smooth val="0"/>
          <c:extLst>
            <c:ext xmlns:c16="http://schemas.microsoft.com/office/drawing/2014/chart" uri="{C3380CC4-5D6E-409C-BE32-E72D297353CC}">
              <c16:uniqueId val="{00000001-1A11-1F47-8DA6-F969464D666D}"/>
            </c:ext>
          </c:extLst>
        </c:ser>
        <c:ser>
          <c:idx val="1"/>
          <c:order val="1"/>
          <c:tx>
            <c:strRef>
              <c:f>'Cost Curves S-PSH'!$C$123</c:f>
              <c:strCache>
                <c:ptCount val="1"/>
                <c:pt idx="0">
                  <c:v>1000 Ft</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wer"/>
            <c:dispRSqr val="0"/>
            <c:dispEq val="1"/>
            <c:trendlineLbl>
              <c:layout>
                <c:manualLayout>
                  <c:x val="-5.7899796237255549E-4"/>
                  <c:y val="0.2475000518226808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S-PSH'!$A$124:$A$129</c:f>
              <c:numCache>
                <c:formatCode>General</c:formatCode>
                <c:ptCount val="6"/>
                <c:pt idx="0">
                  <c:v>5</c:v>
                </c:pt>
                <c:pt idx="1">
                  <c:v>10</c:v>
                </c:pt>
                <c:pt idx="2">
                  <c:v>15</c:v>
                </c:pt>
                <c:pt idx="3">
                  <c:v>20</c:v>
                </c:pt>
                <c:pt idx="4">
                  <c:v>25</c:v>
                </c:pt>
                <c:pt idx="5">
                  <c:v>30</c:v>
                </c:pt>
              </c:numCache>
            </c:numRef>
          </c:xVal>
          <c:yVal>
            <c:numRef>
              <c:f>'Cost Curves S-PSH'!$C$124:$C$129</c:f>
              <c:numCache>
                <c:formatCode>General</c:formatCode>
                <c:ptCount val="6"/>
                <c:pt idx="1">
                  <c:v>2400</c:v>
                </c:pt>
                <c:pt idx="2">
                  <c:v>4600</c:v>
                </c:pt>
                <c:pt idx="3">
                  <c:v>7800</c:v>
                </c:pt>
                <c:pt idx="4">
                  <c:v>11700</c:v>
                </c:pt>
              </c:numCache>
            </c:numRef>
          </c:yVal>
          <c:smooth val="0"/>
          <c:extLst>
            <c:ext xmlns:c16="http://schemas.microsoft.com/office/drawing/2014/chart" uri="{C3380CC4-5D6E-409C-BE32-E72D297353CC}">
              <c16:uniqueId val="{00000003-1A11-1F47-8DA6-F969464D666D}"/>
            </c:ext>
          </c:extLst>
        </c:ser>
        <c:ser>
          <c:idx val="2"/>
          <c:order val="2"/>
          <c:tx>
            <c:strRef>
              <c:f>'Cost Curves S-PSH'!$D$123</c:f>
              <c:strCache>
                <c:ptCount val="1"/>
                <c:pt idx="0">
                  <c:v>1500 Ft</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wer"/>
            <c:dispRSqr val="0"/>
            <c:dispEq val="1"/>
            <c:trendlineLbl>
              <c:layout>
                <c:manualLayout>
                  <c:x val="-5.7899796237255549E-4"/>
                  <c:y val="0.4249770767332922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S-PSH'!$A$124:$A$129</c:f>
              <c:numCache>
                <c:formatCode>General</c:formatCode>
                <c:ptCount val="6"/>
                <c:pt idx="0">
                  <c:v>5</c:v>
                </c:pt>
                <c:pt idx="1">
                  <c:v>10</c:v>
                </c:pt>
                <c:pt idx="2">
                  <c:v>15</c:v>
                </c:pt>
                <c:pt idx="3">
                  <c:v>20</c:v>
                </c:pt>
                <c:pt idx="4">
                  <c:v>25</c:v>
                </c:pt>
                <c:pt idx="5">
                  <c:v>30</c:v>
                </c:pt>
              </c:numCache>
            </c:numRef>
          </c:xVal>
          <c:yVal>
            <c:numRef>
              <c:f>'Cost Curves S-PSH'!$D$124:$D$129</c:f>
              <c:numCache>
                <c:formatCode>General</c:formatCode>
                <c:ptCount val="6"/>
                <c:pt idx="1">
                  <c:v>3000</c:v>
                </c:pt>
                <c:pt idx="2">
                  <c:v>6000</c:v>
                </c:pt>
                <c:pt idx="3">
                  <c:v>10300</c:v>
                </c:pt>
                <c:pt idx="4">
                  <c:v>15800</c:v>
                </c:pt>
              </c:numCache>
            </c:numRef>
          </c:yVal>
          <c:smooth val="0"/>
          <c:extLst>
            <c:ext xmlns:c16="http://schemas.microsoft.com/office/drawing/2014/chart" uri="{C3380CC4-5D6E-409C-BE32-E72D297353CC}">
              <c16:uniqueId val="{00000005-1A11-1F47-8DA6-F969464D666D}"/>
            </c:ext>
          </c:extLst>
        </c:ser>
        <c:ser>
          <c:idx val="3"/>
          <c:order val="3"/>
          <c:tx>
            <c:strRef>
              <c:f>'Cost Curves S-PSH'!$E$123</c:f>
              <c:strCache>
                <c:ptCount val="1"/>
                <c:pt idx="0">
                  <c:v>2000 Ft</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wer"/>
            <c:dispRSqr val="0"/>
            <c:dispEq val="1"/>
            <c:trendlineLbl>
              <c:layout>
                <c:manualLayout>
                  <c:x val="-5.5407213916110537E-3"/>
                  <c:y val="0.5922765681653492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S-PSH'!$A$124:$A$129</c:f>
              <c:numCache>
                <c:formatCode>General</c:formatCode>
                <c:ptCount val="6"/>
                <c:pt idx="0">
                  <c:v>5</c:v>
                </c:pt>
                <c:pt idx="1">
                  <c:v>10</c:v>
                </c:pt>
                <c:pt idx="2">
                  <c:v>15</c:v>
                </c:pt>
                <c:pt idx="3">
                  <c:v>20</c:v>
                </c:pt>
                <c:pt idx="4">
                  <c:v>25</c:v>
                </c:pt>
                <c:pt idx="5">
                  <c:v>30</c:v>
                </c:pt>
              </c:numCache>
            </c:numRef>
          </c:xVal>
          <c:yVal>
            <c:numRef>
              <c:f>'Cost Curves S-PSH'!$E$124:$E$129</c:f>
              <c:numCache>
                <c:formatCode>General</c:formatCode>
                <c:ptCount val="6"/>
                <c:pt idx="1">
                  <c:v>3800</c:v>
                </c:pt>
                <c:pt idx="2">
                  <c:v>7600</c:v>
                </c:pt>
                <c:pt idx="3">
                  <c:v>13250</c:v>
                </c:pt>
              </c:numCache>
            </c:numRef>
          </c:yVal>
          <c:smooth val="0"/>
          <c:extLst>
            <c:ext xmlns:c16="http://schemas.microsoft.com/office/drawing/2014/chart" uri="{C3380CC4-5D6E-409C-BE32-E72D297353CC}">
              <c16:uniqueId val="{00000007-1A11-1F47-8DA6-F969464D666D}"/>
            </c:ext>
          </c:extLst>
        </c:ser>
        <c:dLbls>
          <c:showLegendKey val="0"/>
          <c:showVal val="0"/>
          <c:showCatName val="0"/>
          <c:showSerName val="0"/>
          <c:showPercent val="0"/>
          <c:showBubbleSize val="0"/>
        </c:dLbls>
        <c:axId val="1920348847"/>
        <c:axId val="1920017087"/>
      </c:scatterChart>
      <c:valAx>
        <c:axId val="192034884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Penstock Diameter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0017087"/>
        <c:crosses val="autoZero"/>
        <c:crossBetween val="midCat"/>
      </c:valAx>
      <c:valAx>
        <c:axId val="19200170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034884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 of Surface Pennstocks $1000/Ft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S-PSH'!$L$123</c:f>
              <c:strCache>
                <c:ptCount val="1"/>
                <c:pt idx="0">
                  <c:v>300 Ft</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0"/>
            <c:dispEq val="1"/>
            <c:trendlineLbl>
              <c:layout>
                <c:manualLayout>
                  <c:x val="-0.29052918729996546"/>
                  <c:y val="-0.4304200650265394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S-PSH'!$K$124:$K$129</c:f>
              <c:numCache>
                <c:formatCode>General</c:formatCode>
                <c:ptCount val="6"/>
                <c:pt idx="0">
                  <c:v>10</c:v>
                </c:pt>
                <c:pt idx="1">
                  <c:v>15</c:v>
                </c:pt>
                <c:pt idx="2">
                  <c:v>20</c:v>
                </c:pt>
                <c:pt idx="3">
                  <c:v>25</c:v>
                </c:pt>
                <c:pt idx="4">
                  <c:v>30</c:v>
                </c:pt>
                <c:pt idx="5">
                  <c:v>35</c:v>
                </c:pt>
              </c:numCache>
            </c:numRef>
          </c:xVal>
          <c:yVal>
            <c:numRef>
              <c:f>'Cost Curves S-PSH'!$L$124:$L$129</c:f>
              <c:numCache>
                <c:formatCode>General</c:formatCode>
                <c:ptCount val="6"/>
                <c:pt idx="0">
                  <c:v>1.55</c:v>
                </c:pt>
                <c:pt idx="1">
                  <c:v>3.3</c:v>
                </c:pt>
                <c:pt idx="2">
                  <c:v>5.6</c:v>
                </c:pt>
                <c:pt idx="3">
                  <c:v>8.6</c:v>
                </c:pt>
                <c:pt idx="4">
                  <c:v>12.2</c:v>
                </c:pt>
                <c:pt idx="5">
                  <c:v>16.5</c:v>
                </c:pt>
              </c:numCache>
            </c:numRef>
          </c:yVal>
          <c:smooth val="0"/>
          <c:extLst>
            <c:ext xmlns:c16="http://schemas.microsoft.com/office/drawing/2014/chart" uri="{C3380CC4-5D6E-409C-BE32-E72D297353CC}">
              <c16:uniqueId val="{00000001-90E8-2A4D-857F-DE2EA21C64E4}"/>
            </c:ext>
          </c:extLst>
        </c:ser>
        <c:ser>
          <c:idx val="1"/>
          <c:order val="1"/>
          <c:tx>
            <c:strRef>
              <c:f>'Cost Curves S-PSH'!$M$123</c:f>
              <c:strCache>
                <c:ptCount val="1"/>
                <c:pt idx="0">
                  <c:v>500 Ft</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wer"/>
            <c:dispRSqr val="0"/>
            <c:dispEq val="1"/>
            <c:trendlineLbl>
              <c:layout>
                <c:manualLayout>
                  <c:x val="-0.26660381557152335"/>
                  <c:y val="-0.3156122753026404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S-PSH'!$K$124:$K$129</c:f>
              <c:numCache>
                <c:formatCode>General</c:formatCode>
                <c:ptCount val="6"/>
                <c:pt idx="0">
                  <c:v>10</c:v>
                </c:pt>
                <c:pt idx="1">
                  <c:v>15</c:v>
                </c:pt>
                <c:pt idx="2">
                  <c:v>20</c:v>
                </c:pt>
                <c:pt idx="3">
                  <c:v>25</c:v>
                </c:pt>
                <c:pt idx="4">
                  <c:v>30</c:v>
                </c:pt>
                <c:pt idx="5">
                  <c:v>35</c:v>
                </c:pt>
              </c:numCache>
            </c:numRef>
          </c:xVal>
          <c:yVal>
            <c:numRef>
              <c:f>'Cost Curves S-PSH'!$M$124:$M$129</c:f>
              <c:numCache>
                <c:formatCode>General</c:formatCode>
                <c:ptCount val="6"/>
                <c:pt idx="0">
                  <c:v>2.2000000000000002</c:v>
                </c:pt>
                <c:pt idx="1">
                  <c:v>5</c:v>
                </c:pt>
                <c:pt idx="2">
                  <c:v>8.6999999999999993</c:v>
                </c:pt>
                <c:pt idx="3">
                  <c:v>13.7</c:v>
                </c:pt>
              </c:numCache>
            </c:numRef>
          </c:yVal>
          <c:smooth val="0"/>
          <c:extLst>
            <c:ext xmlns:c16="http://schemas.microsoft.com/office/drawing/2014/chart" uri="{C3380CC4-5D6E-409C-BE32-E72D297353CC}">
              <c16:uniqueId val="{00000003-90E8-2A4D-857F-DE2EA21C64E4}"/>
            </c:ext>
          </c:extLst>
        </c:ser>
        <c:ser>
          <c:idx val="2"/>
          <c:order val="2"/>
          <c:tx>
            <c:strRef>
              <c:f>'Cost Curves S-PSH'!$N$123</c:f>
              <c:strCache>
                <c:ptCount val="1"/>
                <c:pt idx="0">
                  <c:v>700 Ft</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wer"/>
            <c:dispRSqr val="0"/>
            <c:dispEq val="1"/>
            <c:trendlineLbl>
              <c:layout>
                <c:manualLayout>
                  <c:x val="-0.26399187542649694"/>
                  <c:y val="-0.2030790104323714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S-PSH'!$K$124:$K$129</c:f>
              <c:numCache>
                <c:formatCode>General</c:formatCode>
                <c:ptCount val="6"/>
                <c:pt idx="0">
                  <c:v>10</c:v>
                </c:pt>
                <c:pt idx="1">
                  <c:v>15</c:v>
                </c:pt>
                <c:pt idx="2">
                  <c:v>20</c:v>
                </c:pt>
                <c:pt idx="3">
                  <c:v>25</c:v>
                </c:pt>
                <c:pt idx="4">
                  <c:v>30</c:v>
                </c:pt>
                <c:pt idx="5">
                  <c:v>35</c:v>
                </c:pt>
              </c:numCache>
            </c:numRef>
          </c:xVal>
          <c:yVal>
            <c:numRef>
              <c:f>'Cost Curves S-PSH'!$N$124:$N$129</c:f>
              <c:numCache>
                <c:formatCode>General</c:formatCode>
                <c:ptCount val="6"/>
                <c:pt idx="0">
                  <c:v>3.2</c:v>
                </c:pt>
                <c:pt idx="1">
                  <c:v>7</c:v>
                </c:pt>
                <c:pt idx="2">
                  <c:v>12.3</c:v>
                </c:pt>
              </c:numCache>
            </c:numRef>
          </c:yVal>
          <c:smooth val="0"/>
          <c:extLst>
            <c:ext xmlns:c16="http://schemas.microsoft.com/office/drawing/2014/chart" uri="{C3380CC4-5D6E-409C-BE32-E72D297353CC}">
              <c16:uniqueId val="{00000005-90E8-2A4D-857F-DE2EA21C64E4}"/>
            </c:ext>
          </c:extLst>
        </c:ser>
        <c:ser>
          <c:idx val="3"/>
          <c:order val="3"/>
          <c:tx>
            <c:strRef>
              <c:f>'Cost Curves S-PSH'!$O$123</c:f>
              <c:strCache>
                <c:ptCount val="1"/>
                <c:pt idx="0">
                  <c:v>1000 Ft</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wer"/>
            <c:dispRSqr val="0"/>
            <c:dispEq val="1"/>
            <c:trendlineLbl>
              <c:layout>
                <c:manualLayout>
                  <c:x val="-0.26399187542649694"/>
                  <c:y val="-3.9178835463778205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S-PSH'!$K$124:$K$129</c:f>
              <c:numCache>
                <c:formatCode>General</c:formatCode>
                <c:ptCount val="6"/>
                <c:pt idx="0">
                  <c:v>10</c:v>
                </c:pt>
                <c:pt idx="1">
                  <c:v>15</c:v>
                </c:pt>
                <c:pt idx="2">
                  <c:v>20</c:v>
                </c:pt>
                <c:pt idx="3">
                  <c:v>25</c:v>
                </c:pt>
                <c:pt idx="4">
                  <c:v>30</c:v>
                </c:pt>
                <c:pt idx="5">
                  <c:v>35</c:v>
                </c:pt>
              </c:numCache>
            </c:numRef>
          </c:xVal>
          <c:yVal>
            <c:numRef>
              <c:f>'Cost Curves S-PSH'!$O$124:$O$129</c:f>
              <c:numCache>
                <c:formatCode>General</c:formatCode>
                <c:ptCount val="6"/>
                <c:pt idx="0">
                  <c:v>4.5</c:v>
                </c:pt>
                <c:pt idx="1">
                  <c:v>10</c:v>
                </c:pt>
              </c:numCache>
            </c:numRef>
          </c:yVal>
          <c:smooth val="0"/>
          <c:extLst>
            <c:ext xmlns:c16="http://schemas.microsoft.com/office/drawing/2014/chart" uri="{C3380CC4-5D6E-409C-BE32-E72D297353CC}">
              <c16:uniqueId val="{00000007-90E8-2A4D-857F-DE2EA21C64E4}"/>
            </c:ext>
          </c:extLst>
        </c:ser>
        <c:ser>
          <c:idx val="4"/>
          <c:order val="4"/>
          <c:tx>
            <c:strRef>
              <c:f>'Cost Curves S-PSH'!$P$123</c:f>
              <c:strCache>
                <c:ptCount val="1"/>
                <c:pt idx="0">
                  <c:v>1500 Ft</c:v>
                </c:pt>
              </c:strCache>
            </c:strRef>
          </c:tx>
          <c:spPr>
            <a:ln w="19050" cap="rnd">
              <a:noFill/>
              <a:round/>
            </a:ln>
            <a:effectLst/>
          </c:spPr>
          <c:marker>
            <c:symbol val="circle"/>
            <c:size val="5"/>
            <c:spPr>
              <a:solidFill>
                <a:schemeClr val="accent5"/>
              </a:solidFill>
              <a:ln w="9525">
                <a:solidFill>
                  <a:schemeClr val="accent5"/>
                </a:solidFill>
              </a:ln>
              <a:effectLst/>
            </c:spPr>
          </c:marker>
          <c:trendline>
            <c:spPr>
              <a:ln w="19050" cap="rnd">
                <a:solidFill>
                  <a:schemeClr val="accent5"/>
                </a:solidFill>
                <a:prstDash val="sysDot"/>
              </a:ln>
              <a:effectLst/>
            </c:spPr>
            <c:trendlineType val="power"/>
            <c:dispRSqr val="0"/>
            <c:dispEq val="1"/>
            <c:trendlineLbl>
              <c:layout>
                <c:manualLayout>
                  <c:x val="-0.26137993528147047"/>
                  <c:y val="0.1791231780233563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S-PSH'!$K$124:$K$129</c:f>
              <c:numCache>
                <c:formatCode>General</c:formatCode>
                <c:ptCount val="6"/>
                <c:pt idx="0">
                  <c:v>10</c:v>
                </c:pt>
                <c:pt idx="1">
                  <c:v>15</c:v>
                </c:pt>
                <c:pt idx="2">
                  <c:v>20</c:v>
                </c:pt>
                <c:pt idx="3">
                  <c:v>25</c:v>
                </c:pt>
                <c:pt idx="4">
                  <c:v>30</c:v>
                </c:pt>
                <c:pt idx="5">
                  <c:v>35</c:v>
                </c:pt>
              </c:numCache>
            </c:numRef>
          </c:xVal>
          <c:yVal>
            <c:numRef>
              <c:f>'Cost Curves S-PSH'!$P$124:$P$129</c:f>
              <c:numCache>
                <c:formatCode>General</c:formatCode>
                <c:ptCount val="6"/>
                <c:pt idx="0">
                  <c:v>6.65</c:v>
                </c:pt>
                <c:pt idx="1">
                  <c:v>14.75</c:v>
                </c:pt>
              </c:numCache>
            </c:numRef>
          </c:yVal>
          <c:smooth val="0"/>
          <c:extLst>
            <c:ext xmlns:c16="http://schemas.microsoft.com/office/drawing/2014/chart" uri="{C3380CC4-5D6E-409C-BE32-E72D297353CC}">
              <c16:uniqueId val="{00000009-90E8-2A4D-857F-DE2EA21C64E4}"/>
            </c:ext>
          </c:extLst>
        </c:ser>
        <c:dLbls>
          <c:showLegendKey val="0"/>
          <c:showVal val="0"/>
          <c:showCatName val="0"/>
          <c:showSerName val="0"/>
          <c:showPercent val="0"/>
          <c:showBubbleSize val="0"/>
        </c:dLbls>
        <c:axId val="1967309727"/>
        <c:axId val="1967928351"/>
      </c:scatterChart>
      <c:valAx>
        <c:axId val="196730972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Penstock Diameter</a:t>
                </a:r>
                <a:r>
                  <a:rPr lang="en-US" baseline="0"/>
                  <a:t> in ft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928351"/>
        <c:crosses val="autoZero"/>
        <c:crossBetween val="midCat"/>
      </c:valAx>
      <c:valAx>
        <c:axId val="19679283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$1000/FT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309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Underground Powerstation Equipment Costs $/kW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S-PSH'!$B$162</c:f>
              <c:strCache>
                <c:ptCount val="1"/>
                <c:pt idx="0">
                  <c:v>160 MW</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5.4764027823430862E-3"/>
                  <c:y val="0.2122500303799326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S-PSH'!$A$163:$A$168</c:f>
              <c:numCache>
                <c:formatCode>General</c:formatCode>
                <c:ptCount val="6"/>
                <c:pt idx="0">
                  <c:v>350</c:v>
                </c:pt>
                <c:pt idx="1">
                  <c:v>500</c:v>
                </c:pt>
                <c:pt idx="2">
                  <c:v>1000</c:v>
                </c:pt>
                <c:pt idx="3">
                  <c:v>1500</c:v>
                </c:pt>
                <c:pt idx="4">
                  <c:v>2000</c:v>
                </c:pt>
                <c:pt idx="5">
                  <c:v>2250</c:v>
                </c:pt>
              </c:numCache>
            </c:numRef>
          </c:xVal>
          <c:yVal>
            <c:numRef>
              <c:f>'Cost Curves S-PSH'!$B$163:$B$168</c:f>
              <c:numCache>
                <c:formatCode>General</c:formatCode>
                <c:ptCount val="6"/>
                <c:pt idx="0">
                  <c:v>242</c:v>
                </c:pt>
                <c:pt idx="1">
                  <c:v>235</c:v>
                </c:pt>
                <c:pt idx="2">
                  <c:v>224</c:v>
                </c:pt>
                <c:pt idx="3">
                  <c:v>222</c:v>
                </c:pt>
                <c:pt idx="4">
                  <c:v>237</c:v>
                </c:pt>
                <c:pt idx="5">
                  <c:v>245</c:v>
                </c:pt>
              </c:numCache>
            </c:numRef>
          </c:yVal>
          <c:smooth val="0"/>
          <c:extLst>
            <c:ext xmlns:c16="http://schemas.microsoft.com/office/drawing/2014/chart" uri="{C3380CC4-5D6E-409C-BE32-E72D297353CC}">
              <c16:uniqueId val="{00000001-C281-874B-93B2-AE13A6064A47}"/>
            </c:ext>
          </c:extLst>
        </c:ser>
        <c:ser>
          <c:idx val="1"/>
          <c:order val="1"/>
          <c:tx>
            <c:strRef>
              <c:f>'Cost Curves S-PSH'!$C$162</c:f>
              <c:strCache>
                <c:ptCount val="1"/>
                <c:pt idx="0">
                  <c:v>240 MW</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1.047283348175093E-2"/>
                  <c:y val="0.2239908223990822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S-PSH'!$A$163:$A$168</c:f>
              <c:numCache>
                <c:formatCode>General</c:formatCode>
                <c:ptCount val="6"/>
                <c:pt idx="0">
                  <c:v>350</c:v>
                </c:pt>
                <c:pt idx="1">
                  <c:v>500</c:v>
                </c:pt>
                <c:pt idx="2">
                  <c:v>1000</c:v>
                </c:pt>
                <c:pt idx="3">
                  <c:v>1500</c:v>
                </c:pt>
                <c:pt idx="4">
                  <c:v>2000</c:v>
                </c:pt>
                <c:pt idx="5">
                  <c:v>2250</c:v>
                </c:pt>
              </c:numCache>
            </c:numRef>
          </c:xVal>
          <c:yVal>
            <c:numRef>
              <c:f>'Cost Curves S-PSH'!$C$163:$C$168</c:f>
              <c:numCache>
                <c:formatCode>General</c:formatCode>
                <c:ptCount val="6"/>
                <c:pt idx="0">
                  <c:v>229</c:v>
                </c:pt>
                <c:pt idx="1">
                  <c:v>224</c:v>
                </c:pt>
                <c:pt idx="2">
                  <c:v>212</c:v>
                </c:pt>
                <c:pt idx="3">
                  <c:v>210</c:v>
                </c:pt>
                <c:pt idx="4">
                  <c:v>226</c:v>
                </c:pt>
                <c:pt idx="5">
                  <c:v>234</c:v>
                </c:pt>
              </c:numCache>
            </c:numRef>
          </c:yVal>
          <c:smooth val="0"/>
          <c:extLst>
            <c:ext xmlns:c16="http://schemas.microsoft.com/office/drawing/2014/chart" uri="{C3380CC4-5D6E-409C-BE32-E72D297353CC}">
              <c16:uniqueId val="{00000003-C281-874B-93B2-AE13A6064A47}"/>
            </c:ext>
          </c:extLst>
        </c:ser>
        <c:ser>
          <c:idx val="2"/>
          <c:order val="2"/>
          <c:tx>
            <c:strRef>
              <c:f>'Cost Curves S-PSH'!$D$162</c:f>
              <c:strCache>
                <c:ptCount val="1"/>
                <c:pt idx="0">
                  <c:v>320 MW</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0"/>
            <c:dispEq val="1"/>
            <c:trendlineLbl>
              <c:layout>
                <c:manualLayout>
                  <c:x val="-1.5469264181158775E-2"/>
                  <c:y val="0.2450297252071978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S-PSH'!$A$163:$A$168</c:f>
              <c:numCache>
                <c:formatCode>General</c:formatCode>
                <c:ptCount val="6"/>
                <c:pt idx="0">
                  <c:v>350</c:v>
                </c:pt>
                <c:pt idx="1">
                  <c:v>500</c:v>
                </c:pt>
                <c:pt idx="2">
                  <c:v>1000</c:v>
                </c:pt>
                <c:pt idx="3">
                  <c:v>1500</c:v>
                </c:pt>
                <c:pt idx="4">
                  <c:v>2000</c:v>
                </c:pt>
                <c:pt idx="5">
                  <c:v>2250</c:v>
                </c:pt>
              </c:numCache>
            </c:numRef>
          </c:xVal>
          <c:yVal>
            <c:numRef>
              <c:f>'Cost Curves S-PSH'!$D$163:$D$168</c:f>
              <c:numCache>
                <c:formatCode>General</c:formatCode>
                <c:ptCount val="6"/>
                <c:pt idx="0">
                  <c:v>223</c:v>
                </c:pt>
                <c:pt idx="1">
                  <c:v>217</c:v>
                </c:pt>
                <c:pt idx="2">
                  <c:v>205</c:v>
                </c:pt>
                <c:pt idx="3">
                  <c:v>204</c:v>
                </c:pt>
                <c:pt idx="4">
                  <c:v>220</c:v>
                </c:pt>
                <c:pt idx="5">
                  <c:v>228</c:v>
                </c:pt>
              </c:numCache>
            </c:numRef>
          </c:yVal>
          <c:smooth val="0"/>
          <c:extLst>
            <c:ext xmlns:c16="http://schemas.microsoft.com/office/drawing/2014/chart" uri="{C3380CC4-5D6E-409C-BE32-E72D297353CC}">
              <c16:uniqueId val="{00000005-C281-874B-93B2-AE13A6064A47}"/>
            </c:ext>
          </c:extLst>
        </c:ser>
        <c:ser>
          <c:idx val="3"/>
          <c:order val="3"/>
          <c:tx>
            <c:strRef>
              <c:f>'Cost Curves S-PSH'!$E$162</c:f>
              <c:strCache>
                <c:ptCount val="1"/>
                <c:pt idx="0">
                  <c:v>480 MW</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ly"/>
            <c:order val="2"/>
            <c:dispRSqr val="0"/>
            <c:dispEq val="1"/>
            <c:trendlineLbl>
              <c:layout>
                <c:manualLayout>
                  <c:x val="-2.4362910826104738E-2"/>
                  <c:y val="0.2699175382593594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S-PSH'!$A$163:$A$168</c:f>
              <c:numCache>
                <c:formatCode>General</c:formatCode>
                <c:ptCount val="6"/>
                <c:pt idx="0">
                  <c:v>350</c:v>
                </c:pt>
                <c:pt idx="1">
                  <c:v>500</c:v>
                </c:pt>
                <c:pt idx="2">
                  <c:v>1000</c:v>
                </c:pt>
                <c:pt idx="3">
                  <c:v>1500</c:v>
                </c:pt>
                <c:pt idx="4">
                  <c:v>2000</c:v>
                </c:pt>
                <c:pt idx="5">
                  <c:v>2250</c:v>
                </c:pt>
              </c:numCache>
            </c:numRef>
          </c:xVal>
          <c:yVal>
            <c:numRef>
              <c:f>'Cost Curves S-PSH'!$E$163:$E$168</c:f>
              <c:numCache>
                <c:formatCode>General</c:formatCode>
                <c:ptCount val="6"/>
                <c:pt idx="0">
                  <c:v>216</c:v>
                </c:pt>
                <c:pt idx="1">
                  <c:v>210</c:v>
                </c:pt>
                <c:pt idx="2">
                  <c:v>200</c:v>
                </c:pt>
                <c:pt idx="3">
                  <c:v>200</c:v>
                </c:pt>
                <c:pt idx="4">
                  <c:v>215</c:v>
                </c:pt>
                <c:pt idx="5">
                  <c:v>223</c:v>
                </c:pt>
              </c:numCache>
            </c:numRef>
          </c:yVal>
          <c:smooth val="0"/>
          <c:extLst>
            <c:ext xmlns:c16="http://schemas.microsoft.com/office/drawing/2014/chart" uri="{C3380CC4-5D6E-409C-BE32-E72D297353CC}">
              <c16:uniqueId val="{00000007-C281-874B-93B2-AE13A6064A47}"/>
            </c:ext>
          </c:extLst>
        </c:ser>
        <c:dLbls>
          <c:showLegendKey val="0"/>
          <c:showVal val="0"/>
          <c:showCatName val="0"/>
          <c:showSerName val="0"/>
          <c:showPercent val="0"/>
          <c:showBubbleSize val="0"/>
        </c:dLbls>
        <c:axId val="1916134927"/>
        <c:axId val="1915963119"/>
      </c:scatterChart>
      <c:valAx>
        <c:axId val="191613492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Head Height</a:t>
                </a:r>
                <a:r>
                  <a:rPr lang="en-US" baseline="0"/>
                  <a:t> in ft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5963119"/>
        <c:crosses val="autoZero"/>
        <c:crossBetween val="midCat"/>
      </c:valAx>
      <c:valAx>
        <c:axId val="19159631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61349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Underground Powerstation Equipment Costs $/kW</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S-PSH'!$L$162</c:f>
              <c:strCache>
                <c:ptCount val="1"/>
                <c:pt idx="0">
                  <c:v>250 MW</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1.7300652055660008E-2"/>
                  <c:y val="0.1398917520474769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S-PSH'!$K$163:$K$168</c:f>
              <c:numCache>
                <c:formatCode>General</c:formatCode>
                <c:ptCount val="6"/>
                <c:pt idx="0">
                  <c:v>350</c:v>
                </c:pt>
                <c:pt idx="1">
                  <c:v>500</c:v>
                </c:pt>
                <c:pt idx="2">
                  <c:v>1000</c:v>
                </c:pt>
                <c:pt idx="3">
                  <c:v>1500</c:v>
                </c:pt>
                <c:pt idx="4">
                  <c:v>2000</c:v>
                </c:pt>
                <c:pt idx="5">
                  <c:v>2250</c:v>
                </c:pt>
              </c:numCache>
            </c:numRef>
          </c:xVal>
          <c:yVal>
            <c:numRef>
              <c:f>'Cost Curves S-PSH'!$L$163:$L$168</c:f>
              <c:numCache>
                <c:formatCode>General</c:formatCode>
                <c:ptCount val="6"/>
                <c:pt idx="0">
                  <c:v>203</c:v>
                </c:pt>
                <c:pt idx="1">
                  <c:v>194</c:v>
                </c:pt>
                <c:pt idx="2">
                  <c:v>183</c:v>
                </c:pt>
                <c:pt idx="3">
                  <c:v>180</c:v>
                </c:pt>
                <c:pt idx="4">
                  <c:v>185</c:v>
                </c:pt>
                <c:pt idx="5">
                  <c:v>187</c:v>
                </c:pt>
              </c:numCache>
            </c:numRef>
          </c:yVal>
          <c:smooth val="0"/>
          <c:extLst>
            <c:ext xmlns:c16="http://schemas.microsoft.com/office/drawing/2014/chart" uri="{C3380CC4-5D6E-409C-BE32-E72D297353CC}">
              <c16:uniqueId val="{00000001-8A31-3D4E-ABEA-51279ED04C61}"/>
            </c:ext>
          </c:extLst>
        </c:ser>
        <c:ser>
          <c:idx val="1"/>
          <c:order val="1"/>
          <c:tx>
            <c:strRef>
              <c:f>'Cost Curves S-PSH'!$M$162</c:f>
              <c:strCache>
                <c:ptCount val="1"/>
                <c:pt idx="0">
                  <c:v>375 MW</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9.4443113288433279E-3"/>
                  <c:y val="0.1469676851151554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S-PSH'!$K$163:$K$168</c:f>
              <c:numCache>
                <c:formatCode>General</c:formatCode>
                <c:ptCount val="6"/>
                <c:pt idx="0">
                  <c:v>350</c:v>
                </c:pt>
                <c:pt idx="1">
                  <c:v>500</c:v>
                </c:pt>
                <c:pt idx="2">
                  <c:v>1000</c:v>
                </c:pt>
                <c:pt idx="3">
                  <c:v>1500</c:v>
                </c:pt>
                <c:pt idx="4">
                  <c:v>2000</c:v>
                </c:pt>
                <c:pt idx="5">
                  <c:v>2250</c:v>
                </c:pt>
              </c:numCache>
            </c:numRef>
          </c:xVal>
          <c:yVal>
            <c:numRef>
              <c:f>'Cost Curves S-PSH'!$M$163:$M$168</c:f>
              <c:numCache>
                <c:formatCode>General</c:formatCode>
                <c:ptCount val="6"/>
                <c:pt idx="0">
                  <c:v>194</c:v>
                </c:pt>
                <c:pt idx="1">
                  <c:v>185</c:v>
                </c:pt>
                <c:pt idx="2">
                  <c:v>174</c:v>
                </c:pt>
                <c:pt idx="3">
                  <c:v>173</c:v>
                </c:pt>
                <c:pt idx="4">
                  <c:v>176</c:v>
                </c:pt>
                <c:pt idx="5">
                  <c:v>179</c:v>
                </c:pt>
              </c:numCache>
            </c:numRef>
          </c:yVal>
          <c:smooth val="0"/>
          <c:extLst>
            <c:ext xmlns:c16="http://schemas.microsoft.com/office/drawing/2014/chart" uri="{C3380CC4-5D6E-409C-BE32-E72D297353CC}">
              <c16:uniqueId val="{00000003-8A31-3D4E-ABEA-51279ED04C61}"/>
            </c:ext>
          </c:extLst>
        </c:ser>
        <c:ser>
          <c:idx val="2"/>
          <c:order val="2"/>
          <c:tx>
            <c:strRef>
              <c:f>'Cost Curves S-PSH'!$N$162</c:f>
              <c:strCache>
                <c:ptCount val="1"/>
                <c:pt idx="0">
                  <c:v>500 MW</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0"/>
            <c:dispEq val="1"/>
            <c:trendlineLbl>
              <c:layout>
                <c:manualLayout>
                  <c:x val="-1.2063091571115556E-2"/>
                  <c:y val="0.1727107948023294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S-PSH'!$K$163:$K$168</c:f>
              <c:numCache>
                <c:formatCode>General</c:formatCode>
                <c:ptCount val="6"/>
                <c:pt idx="0">
                  <c:v>350</c:v>
                </c:pt>
                <c:pt idx="1">
                  <c:v>500</c:v>
                </c:pt>
                <c:pt idx="2">
                  <c:v>1000</c:v>
                </c:pt>
                <c:pt idx="3">
                  <c:v>1500</c:v>
                </c:pt>
                <c:pt idx="4">
                  <c:v>2000</c:v>
                </c:pt>
                <c:pt idx="5">
                  <c:v>2250</c:v>
                </c:pt>
              </c:numCache>
            </c:numRef>
          </c:xVal>
          <c:yVal>
            <c:numRef>
              <c:f>'Cost Curves S-PSH'!$N$163:$N$168</c:f>
              <c:numCache>
                <c:formatCode>General</c:formatCode>
                <c:ptCount val="6"/>
                <c:pt idx="0">
                  <c:v>188</c:v>
                </c:pt>
                <c:pt idx="1">
                  <c:v>180</c:v>
                </c:pt>
                <c:pt idx="2">
                  <c:v>169</c:v>
                </c:pt>
                <c:pt idx="3">
                  <c:v>168</c:v>
                </c:pt>
                <c:pt idx="4">
                  <c:v>173</c:v>
                </c:pt>
                <c:pt idx="5">
                  <c:v>175</c:v>
                </c:pt>
              </c:numCache>
            </c:numRef>
          </c:yVal>
          <c:smooth val="0"/>
          <c:extLst>
            <c:ext xmlns:c16="http://schemas.microsoft.com/office/drawing/2014/chart" uri="{C3380CC4-5D6E-409C-BE32-E72D297353CC}">
              <c16:uniqueId val="{00000005-8A31-3D4E-ABEA-51279ED04C61}"/>
            </c:ext>
          </c:extLst>
        </c:ser>
        <c:ser>
          <c:idx val="3"/>
          <c:order val="3"/>
          <c:tx>
            <c:strRef>
              <c:f>'Cost Curves S-PSH'!$O$162</c:f>
              <c:strCache>
                <c:ptCount val="1"/>
                <c:pt idx="0">
                  <c:v>750 MW</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ly"/>
            <c:order val="2"/>
            <c:dispRSqr val="0"/>
            <c:dispEq val="1"/>
            <c:trendlineLbl>
              <c:layout>
                <c:manualLayout>
                  <c:x val="-1.4681871813387782E-2"/>
                  <c:y val="0.1958985142110249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S-PSH'!$K$163:$K$168</c:f>
              <c:numCache>
                <c:formatCode>General</c:formatCode>
                <c:ptCount val="6"/>
                <c:pt idx="0">
                  <c:v>350</c:v>
                </c:pt>
                <c:pt idx="1">
                  <c:v>500</c:v>
                </c:pt>
                <c:pt idx="2">
                  <c:v>1000</c:v>
                </c:pt>
                <c:pt idx="3">
                  <c:v>1500</c:v>
                </c:pt>
                <c:pt idx="4">
                  <c:v>2000</c:v>
                </c:pt>
                <c:pt idx="5">
                  <c:v>2250</c:v>
                </c:pt>
              </c:numCache>
            </c:numRef>
          </c:xVal>
          <c:yVal>
            <c:numRef>
              <c:f>'Cost Curves S-PSH'!$O$163:$O$168</c:f>
              <c:numCache>
                <c:formatCode>General</c:formatCode>
                <c:ptCount val="6"/>
                <c:pt idx="0">
                  <c:v>184</c:v>
                </c:pt>
                <c:pt idx="1">
                  <c:v>176</c:v>
                </c:pt>
                <c:pt idx="2">
                  <c:v>165</c:v>
                </c:pt>
                <c:pt idx="3">
                  <c:v>164</c:v>
                </c:pt>
                <c:pt idx="4">
                  <c:v>168</c:v>
                </c:pt>
                <c:pt idx="5">
                  <c:v>171</c:v>
                </c:pt>
              </c:numCache>
            </c:numRef>
          </c:yVal>
          <c:smooth val="0"/>
          <c:extLst>
            <c:ext xmlns:c16="http://schemas.microsoft.com/office/drawing/2014/chart" uri="{C3380CC4-5D6E-409C-BE32-E72D297353CC}">
              <c16:uniqueId val="{00000007-8A31-3D4E-ABEA-51279ED04C61}"/>
            </c:ext>
          </c:extLst>
        </c:ser>
        <c:dLbls>
          <c:showLegendKey val="0"/>
          <c:showVal val="0"/>
          <c:showCatName val="0"/>
          <c:showSerName val="0"/>
          <c:showPercent val="0"/>
          <c:showBubbleSize val="0"/>
        </c:dLbls>
        <c:axId val="1949891855"/>
        <c:axId val="1947444751"/>
      </c:scatterChart>
      <c:valAx>
        <c:axId val="194989185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7444751"/>
        <c:crosses val="autoZero"/>
        <c:crossBetween val="midCat"/>
      </c:valAx>
      <c:valAx>
        <c:axId val="19474447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989185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Underground Powerstation Equipment Costs $/kW</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S-PSH'!$V$162</c:f>
              <c:strCache>
                <c:ptCount val="1"/>
                <c:pt idx="0">
                  <c:v>450 MW</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2.541625461622855E-2"/>
                  <c:y val="0.1592348281194402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S-PSH'!$U$163:$U$168</c:f>
              <c:numCache>
                <c:formatCode>General</c:formatCode>
                <c:ptCount val="6"/>
                <c:pt idx="0">
                  <c:v>350</c:v>
                </c:pt>
                <c:pt idx="1">
                  <c:v>500</c:v>
                </c:pt>
                <c:pt idx="2">
                  <c:v>1000</c:v>
                </c:pt>
                <c:pt idx="3">
                  <c:v>1500</c:v>
                </c:pt>
                <c:pt idx="4">
                  <c:v>2000</c:v>
                </c:pt>
                <c:pt idx="5">
                  <c:v>2250</c:v>
                </c:pt>
              </c:numCache>
            </c:numRef>
          </c:xVal>
          <c:yVal>
            <c:numRef>
              <c:f>'Cost Curves S-PSH'!$V$163:$V$168</c:f>
              <c:numCache>
                <c:formatCode>General</c:formatCode>
                <c:ptCount val="6"/>
                <c:pt idx="0">
                  <c:v>163</c:v>
                </c:pt>
                <c:pt idx="1">
                  <c:v>153</c:v>
                </c:pt>
                <c:pt idx="2">
                  <c:v>139</c:v>
                </c:pt>
                <c:pt idx="3">
                  <c:v>138.5</c:v>
                </c:pt>
                <c:pt idx="4">
                  <c:v>143</c:v>
                </c:pt>
                <c:pt idx="5">
                  <c:v>145</c:v>
                </c:pt>
              </c:numCache>
            </c:numRef>
          </c:yVal>
          <c:smooth val="0"/>
          <c:extLst>
            <c:ext xmlns:c16="http://schemas.microsoft.com/office/drawing/2014/chart" uri="{C3380CC4-5D6E-409C-BE32-E72D297353CC}">
              <c16:uniqueId val="{00000001-08C4-C94F-B21B-096E18990036}"/>
            </c:ext>
          </c:extLst>
        </c:ser>
        <c:ser>
          <c:idx val="1"/>
          <c:order val="1"/>
          <c:tx>
            <c:strRef>
              <c:f>'Cost Curves S-PSH'!$W$162</c:f>
              <c:strCache>
                <c:ptCount val="1"/>
                <c:pt idx="0">
                  <c:v>675 MW</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1.7608983157195005E-2"/>
                  <c:y val="0.164616501413635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S-PSH'!$U$163:$U$168</c:f>
              <c:numCache>
                <c:formatCode>General</c:formatCode>
                <c:ptCount val="6"/>
                <c:pt idx="0">
                  <c:v>350</c:v>
                </c:pt>
                <c:pt idx="1">
                  <c:v>500</c:v>
                </c:pt>
                <c:pt idx="2">
                  <c:v>1000</c:v>
                </c:pt>
                <c:pt idx="3">
                  <c:v>1500</c:v>
                </c:pt>
                <c:pt idx="4">
                  <c:v>2000</c:v>
                </c:pt>
                <c:pt idx="5">
                  <c:v>2250</c:v>
                </c:pt>
              </c:numCache>
            </c:numRef>
          </c:xVal>
          <c:yVal>
            <c:numRef>
              <c:f>'Cost Curves S-PSH'!$W$163:$W$168</c:f>
              <c:numCache>
                <c:formatCode>General</c:formatCode>
                <c:ptCount val="6"/>
                <c:pt idx="0">
                  <c:v>155</c:v>
                </c:pt>
                <c:pt idx="1">
                  <c:v>145</c:v>
                </c:pt>
                <c:pt idx="2">
                  <c:v>134</c:v>
                </c:pt>
                <c:pt idx="3">
                  <c:v>133.5</c:v>
                </c:pt>
                <c:pt idx="4">
                  <c:v>135.5</c:v>
                </c:pt>
                <c:pt idx="5">
                  <c:v>137</c:v>
                </c:pt>
              </c:numCache>
            </c:numRef>
          </c:yVal>
          <c:smooth val="0"/>
          <c:extLst>
            <c:ext xmlns:c16="http://schemas.microsoft.com/office/drawing/2014/chart" uri="{C3380CC4-5D6E-409C-BE32-E72D297353CC}">
              <c16:uniqueId val="{00000003-08C4-C94F-B21B-096E18990036}"/>
            </c:ext>
          </c:extLst>
        </c:ser>
        <c:ser>
          <c:idx val="2"/>
          <c:order val="2"/>
          <c:tx>
            <c:strRef>
              <c:f>'Cost Curves S-PSH'!$X$162</c:f>
              <c:strCache>
                <c:ptCount val="1"/>
                <c:pt idx="0">
                  <c:v>900 MW</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0"/>
            <c:dispEq val="1"/>
            <c:trendlineLbl>
              <c:layout>
                <c:manualLayout>
                  <c:x val="-3.4680883414281695E-2"/>
                  <c:y val="0.1901413736641741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S-PSH'!$U$163:$U$168</c:f>
              <c:numCache>
                <c:formatCode>General</c:formatCode>
                <c:ptCount val="6"/>
                <c:pt idx="0">
                  <c:v>350</c:v>
                </c:pt>
                <c:pt idx="1">
                  <c:v>500</c:v>
                </c:pt>
                <c:pt idx="2">
                  <c:v>1000</c:v>
                </c:pt>
                <c:pt idx="3">
                  <c:v>1500</c:v>
                </c:pt>
                <c:pt idx="4">
                  <c:v>2000</c:v>
                </c:pt>
                <c:pt idx="5">
                  <c:v>2250</c:v>
                </c:pt>
              </c:numCache>
            </c:numRef>
          </c:xVal>
          <c:yVal>
            <c:numRef>
              <c:f>'Cost Curves S-PSH'!$X$163:$X$168</c:f>
              <c:numCache>
                <c:formatCode>General</c:formatCode>
                <c:ptCount val="6"/>
                <c:pt idx="0">
                  <c:v>151</c:v>
                </c:pt>
                <c:pt idx="1">
                  <c:v>142</c:v>
                </c:pt>
                <c:pt idx="2">
                  <c:v>130</c:v>
                </c:pt>
                <c:pt idx="3">
                  <c:v>129</c:v>
                </c:pt>
                <c:pt idx="4">
                  <c:v>134</c:v>
                </c:pt>
                <c:pt idx="5">
                  <c:v>135</c:v>
                </c:pt>
              </c:numCache>
            </c:numRef>
          </c:yVal>
          <c:smooth val="0"/>
          <c:extLst>
            <c:ext xmlns:c16="http://schemas.microsoft.com/office/drawing/2014/chart" uri="{C3380CC4-5D6E-409C-BE32-E72D297353CC}">
              <c16:uniqueId val="{00000005-08C4-C94F-B21B-096E18990036}"/>
            </c:ext>
          </c:extLst>
        </c:ser>
        <c:ser>
          <c:idx val="3"/>
          <c:order val="3"/>
          <c:tx>
            <c:strRef>
              <c:f>'Cost Curves S-PSH'!$Y$162</c:f>
              <c:strCache>
                <c:ptCount val="1"/>
                <c:pt idx="0">
                  <c:v>1350 MW</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ly"/>
            <c:order val="2"/>
            <c:dispRSqr val="0"/>
            <c:dispEq val="1"/>
            <c:trendlineLbl>
              <c:layout>
                <c:manualLayout>
                  <c:x val="-2.541625461622855E-2"/>
                  <c:y val="0.210150908171011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S-PSH'!$U$163:$U$168</c:f>
              <c:numCache>
                <c:formatCode>General</c:formatCode>
                <c:ptCount val="6"/>
                <c:pt idx="0">
                  <c:v>350</c:v>
                </c:pt>
                <c:pt idx="1">
                  <c:v>500</c:v>
                </c:pt>
                <c:pt idx="2">
                  <c:v>1000</c:v>
                </c:pt>
                <c:pt idx="3">
                  <c:v>1500</c:v>
                </c:pt>
                <c:pt idx="4">
                  <c:v>2000</c:v>
                </c:pt>
                <c:pt idx="5">
                  <c:v>2250</c:v>
                </c:pt>
              </c:numCache>
            </c:numRef>
          </c:xVal>
          <c:yVal>
            <c:numRef>
              <c:f>'Cost Curves S-PSH'!$Y$163:$Y$168</c:f>
              <c:numCache>
                <c:formatCode>General</c:formatCode>
                <c:ptCount val="6"/>
                <c:pt idx="0">
                  <c:v>146</c:v>
                </c:pt>
                <c:pt idx="1">
                  <c:v>137</c:v>
                </c:pt>
                <c:pt idx="2">
                  <c:v>126</c:v>
                </c:pt>
                <c:pt idx="3">
                  <c:v>126</c:v>
                </c:pt>
                <c:pt idx="4">
                  <c:v>130</c:v>
                </c:pt>
                <c:pt idx="5">
                  <c:v>132</c:v>
                </c:pt>
              </c:numCache>
            </c:numRef>
          </c:yVal>
          <c:smooth val="0"/>
          <c:extLst>
            <c:ext xmlns:c16="http://schemas.microsoft.com/office/drawing/2014/chart" uri="{C3380CC4-5D6E-409C-BE32-E72D297353CC}">
              <c16:uniqueId val="{00000007-08C4-C94F-B21B-096E18990036}"/>
            </c:ext>
          </c:extLst>
        </c:ser>
        <c:dLbls>
          <c:showLegendKey val="0"/>
          <c:showVal val="0"/>
          <c:showCatName val="0"/>
          <c:showSerName val="0"/>
          <c:showPercent val="0"/>
          <c:showBubbleSize val="0"/>
        </c:dLbls>
        <c:axId val="1873787007"/>
        <c:axId val="1975905599"/>
      </c:scatterChart>
      <c:valAx>
        <c:axId val="187378700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5905599"/>
        <c:crosses val="autoZero"/>
        <c:crossBetween val="midCat"/>
      </c:valAx>
      <c:valAx>
        <c:axId val="19759055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37870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Underground Powerstation Equipment Costs $/kW</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S-PSH'!$AF$162</c:f>
              <c:strCache>
                <c:ptCount val="1"/>
                <c:pt idx="0">
                  <c:v>700 MW</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2.5544475778322289E-2"/>
                  <c:y val="0.1490024450854890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S-PSH'!$AE$163:$AE$168</c:f>
              <c:numCache>
                <c:formatCode>General</c:formatCode>
                <c:ptCount val="6"/>
                <c:pt idx="0">
                  <c:v>350</c:v>
                </c:pt>
                <c:pt idx="1">
                  <c:v>500</c:v>
                </c:pt>
                <c:pt idx="2">
                  <c:v>1000</c:v>
                </c:pt>
                <c:pt idx="3">
                  <c:v>1500</c:v>
                </c:pt>
                <c:pt idx="4">
                  <c:v>2000</c:v>
                </c:pt>
                <c:pt idx="5">
                  <c:v>2250</c:v>
                </c:pt>
              </c:numCache>
            </c:numRef>
          </c:xVal>
          <c:yVal>
            <c:numRef>
              <c:f>'Cost Curves S-PSH'!$AF$163:$AF$168</c:f>
              <c:numCache>
                <c:formatCode>General</c:formatCode>
                <c:ptCount val="6"/>
                <c:pt idx="0">
                  <c:v>130</c:v>
                </c:pt>
                <c:pt idx="1">
                  <c:v>124</c:v>
                </c:pt>
                <c:pt idx="2">
                  <c:v>112</c:v>
                </c:pt>
                <c:pt idx="3">
                  <c:v>114</c:v>
                </c:pt>
                <c:pt idx="4">
                  <c:v>115</c:v>
                </c:pt>
                <c:pt idx="5">
                  <c:v>115.5</c:v>
                </c:pt>
              </c:numCache>
            </c:numRef>
          </c:yVal>
          <c:smooth val="0"/>
          <c:extLst>
            <c:ext xmlns:c16="http://schemas.microsoft.com/office/drawing/2014/chart" uri="{C3380CC4-5D6E-409C-BE32-E72D297353CC}">
              <c16:uniqueId val="{00000001-9D01-3143-9B84-D54899B2FB6C}"/>
            </c:ext>
          </c:extLst>
        </c:ser>
        <c:ser>
          <c:idx val="1"/>
          <c:order val="1"/>
          <c:tx>
            <c:strRef>
              <c:f>'Cost Curves S-PSH'!$AG$162</c:f>
              <c:strCache>
                <c:ptCount val="1"/>
                <c:pt idx="0">
                  <c:v>1050 MW</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2.9591618908321342E-2"/>
                  <c:y val="0.1605157231204738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S-PSH'!$AE$163:$AE$168</c:f>
              <c:numCache>
                <c:formatCode>General</c:formatCode>
                <c:ptCount val="6"/>
                <c:pt idx="0">
                  <c:v>350</c:v>
                </c:pt>
                <c:pt idx="1">
                  <c:v>500</c:v>
                </c:pt>
                <c:pt idx="2">
                  <c:v>1000</c:v>
                </c:pt>
                <c:pt idx="3">
                  <c:v>1500</c:v>
                </c:pt>
                <c:pt idx="4">
                  <c:v>2000</c:v>
                </c:pt>
                <c:pt idx="5">
                  <c:v>2250</c:v>
                </c:pt>
              </c:numCache>
            </c:numRef>
          </c:xVal>
          <c:yVal>
            <c:numRef>
              <c:f>'Cost Curves S-PSH'!$AG$163:$AG$168</c:f>
              <c:numCache>
                <c:formatCode>General</c:formatCode>
                <c:ptCount val="6"/>
                <c:pt idx="0">
                  <c:v>124</c:v>
                </c:pt>
                <c:pt idx="1">
                  <c:v>116</c:v>
                </c:pt>
                <c:pt idx="2">
                  <c:v>107</c:v>
                </c:pt>
                <c:pt idx="3">
                  <c:v>107.5</c:v>
                </c:pt>
                <c:pt idx="4">
                  <c:v>110</c:v>
                </c:pt>
                <c:pt idx="5">
                  <c:v>110.5</c:v>
                </c:pt>
              </c:numCache>
            </c:numRef>
          </c:yVal>
          <c:smooth val="0"/>
          <c:extLst>
            <c:ext xmlns:c16="http://schemas.microsoft.com/office/drawing/2014/chart" uri="{C3380CC4-5D6E-409C-BE32-E72D297353CC}">
              <c16:uniqueId val="{00000003-9D01-3143-9B84-D54899B2FB6C}"/>
            </c:ext>
          </c:extLst>
        </c:ser>
        <c:ser>
          <c:idx val="2"/>
          <c:order val="2"/>
          <c:tx>
            <c:strRef>
              <c:f>'Cost Curves S-PSH'!$AH$162</c:f>
              <c:strCache>
                <c:ptCount val="1"/>
                <c:pt idx="0">
                  <c:v>1400 MW</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0"/>
            <c:dispEq val="1"/>
            <c:trendlineLbl>
              <c:layout>
                <c:manualLayout>
                  <c:x val="-3.2185941427551504E-2"/>
                  <c:y val="0.185860249116278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S-PSH'!$AE$163:$AE$168</c:f>
              <c:numCache>
                <c:formatCode>General</c:formatCode>
                <c:ptCount val="6"/>
                <c:pt idx="0">
                  <c:v>350</c:v>
                </c:pt>
                <c:pt idx="1">
                  <c:v>500</c:v>
                </c:pt>
                <c:pt idx="2">
                  <c:v>1000</c:v>
                </c:pt>
                <c:pt idx="3">
                  <c:v>1500</c:v>
                </c:pt>
                <c:pt idx="4">
                  <c:v>2000</c:v>
                </c:pt>
                <c:pt idx="5">
                  <c:v>2250</c:v>
                </c:pt>
              </c:numCache>
            </c:numRef>
          </c:xVal>
          <c:yVal>
            <c:numRef>
              <c:f>'Cost Curves S-PSH'!$AH$163:$AH$168</c:f>
              <c:numCache>
                <c:formatCode>General</c:formatCode>
                <c:ptCount val="6"/>
                <c:pt idx="0">
                  <c:v>121</c:v>
                </c:pt>
                <c:pt idx="1">
                  <c:v>114</c:v>
                </c:pt>
                <c:pt idx="2">
                  <c:v>105</c:v>
                </c:pt>
                <c:pt idx="3">
                  <c:v>105.5</c:v>
                </c:pt>
                <c:pt idx="4">
                  <c:v>107</c:v>
                </c:pt>
                <c:pt idx="5">
                  <c:v>107.5</c:v>
                </c:pt>
              </c:numCache>
            </c:numRef>
          </c:yVal>
          <c:smooth val="0"/>
          <c:extLst>
            <c:ext xmlns:c16="http://schemas.microsoft.com/office/drawing/2014/chart" uri="{C3380CC4-5D6E-409C-BE32-E72D297353CC}">
              <c16:uniqueId val="{00000005-9D01-3143-9B84-D54899B2FB6C}"/>
            </c:ext>
          </c:extLst>
        </c:ser>
        <c:ser>
          <c:idx val="3"/>
          <c:order val="3"/>
          <c:tx>
            <c:strRef>
              <c:f>'Cost Curves S-PSH'!$AI$162</c:f>
              <c:strCache>
                <c:ptCount val="1"/>
                <c:pt idx="0">
                  <c:v>2100 MW</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ly"/>
            <c:order val="2"/>
            <c:dispRSqr val="0"/>
            <c:dispEq val="1"/>
            <c:trendlineLbl>
              <c:layout>
                <c:manualLayout>
                  <c:x val="-2.5544475778322289E-2"/>
                  <c:y val="0.2061575987819743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S-PSH'!$AE$163:$AE$168</c:f>
              <c:numCache>
                <c:formatCode>General</c:formatCode>
                <c:ptCount val="6"/>
                <c:pt idx="0">
                  <c:v>350</c:v>
                </c:pt>
                <c:pt idx="1">
                  <c:v>500</c:v>
                </c:pt>
                <c:pt idx="2">
                  <c:v>1000</c:v>
                </c:pt>
                <c:pt idx="3">
                  <c:v>1500</c:v>
                </c:pt>
                <c:pt idx="4">
                  <c:v>2000</c:v>
                </c:pt>
                <c:pt idx="5">
                  <c:v>2250</c:v>
                </c:pt>
              </c:numCache>
            </c:numRef>
          </c:xVal>
          <c:yVal>
            <c:numRef>
              <c:f>'Cost Curves S-PSH'!$AI$163:$AI$168</c:f>
              <c:numCache>
                <c:formatCode>General</c:formatCode>
                <c:ptCount val="6"/>
                <c:pt idx="0">
                  <c:v>117</c:v>
                </c:pt>
                <c:pt idx="1">
                  <c:v>111</c:v>
                </c:pt>
                <c:pt idx="2">
                  <c:v>102</c:v>
                </c:pt>
                <c:pt idx="3">
                  <c:v>103</c:v>
                </c:pt>
                <c:pt idx="4">
                  <c:v>104.5</c:v>
                </c:pt>
                <c:pt idx="5">
                  <c:v>105.5</c:v>
                </c:pt>
              </c:numCache>
            </c:numRef>
          </c:yVal>
          <c:smooth val="0"/>
          <c:extLst>
            <c:ext xmlns:c16="http://schemas.microsoft.com/office/drawing/2014/chart" uri="{C3380CC4-5D6E-409C-BE32-E72D297353CC}">
              <c16:uniqueId val="{00000007-9D01-3143-9B84-D54899B2FB6C}"/>
            </c:ext>
          </c:extLst>
        </c:ser>
        <c:dLbls>
          <c:showLegendKey val="0"/>
          <c:showVal val="0"/>
          <c:showCatName val="0"/>
          <c:showSerName val="0"/>
          <c:showPercent val="0"/>
          <c:showBubbleSize val="0"/>
        </c:dLbls>
        <c:axId val="1948530943"/>
        <c:axId val="1975259007"/>
      </c:scatterChart>
      <c:valAx>
        <c:axId val="194853094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5259007"/>
        <c:crosses val="autoZero"/>
        <c:crossBetween val="midCat"/>
      </c:valAx>
      <c:valAx>
        <c:axId val="19752590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85309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Surface Powerstation Equipment Costs $/kW</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S-PSH'!$L$204</c:f>
              <c:strCache>
                <c:ptCount val="1"/>
                <c:pt idx="0">
                  <c:v>250 MW</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0.20856888869901138"/>
                  <c:y val="0.1624417634037085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S-PSH'!$K$205:$K$210</c:f>
              <c:numCache>
                <c:formatCode>General</c:formatCode>
                <c:ptCount val="6"/>
                <c:pt idx="0">
                  <c:v>350</c:v>
                </c:pt>
                <c:pt idx="1">
                  <c:v>500</c:v>
                </c:pt>
                <c:pt idx="2">
                  <c:v>1000</c:v>
                </c:pt>
                <c:pt idx="3">
                  <c:v>1500</c:v>
                </c:pt>
                <c:pt idx="4">
                  <c:v>2000</c:v>
                </c:pt>
                <c:pt idx="5">
                  <c:v>2250</c:v>
                </c:pt>
              </c:numCache>
            </c:numRef>
          </c:xVal>
          <c:yVal>
            <c:numRef>
              <c:f>'Cost Curves S-PSH'!$L$205:$L$210</c:f>
              <c:numCache>
                <c:formatCode>General</c:formatCode>
                <c:ptCount val="6"/>
                <c:pt idx="0">
                  <c:v>200</c:v>
                </c:pt>
                <c:pt idx="1">
                  <c:v>189</c:v>
                </c:pt>
                <c:pt idx="2">
                  <c:v>180</c:v>
                </c:pt>
                <c:pt idx="3">
                  <c:v>181.5</c:v>
                </c:pt>
                <c:pt idx="4">
                  <c:v>187.5</c:v>
                </c:pt>
                <c:pt idx="5">
                  <c:v>194</c:v>
                </c:pt>
              </c:numCache>
            </c:numRef>
          </c:yVal>
          <c:smooth val="0"/>
          <c:extLst>
            <c:ext xmlns:c16="http://schemas.microsoft.com/office/drawing/2014/chart" uri="{C3380CC4-5D6E-409C-BE32-E72D297353CC}">
              <c16:uniqueId val="{00000001-AC92-7149-BDC9-271BBBC82BA0}"/>
            </c:ext>
          </c:extLst>
        </c:ser>
        <c:ser>
          <c:idx val="1"/>
          <c:order val="1"/>
          <c:tx>
            <c:strRef>
              <c:f>'Cost Curves S-PSH'!$M$204</c:f>
              <c:strCache>
                <c:ptCount val="1"/>
                <c:pt idx="0">
                  <c:v>375 MW</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0.22307233483875155"/>
                  <c:y val="0.1908150432187525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S-PSH'!$K$205:$K$210</c:f>
              <c:numCache>
                <c:formatCode>General</c:formatCode>
                <c:ptCount val="6"/>
                <c:pt idx="0">
                  <c:v>350</c:v>
                </c:pt>
                <c:pt idx="1">
                  <c:v>500</c:v>
                </c:pt>
                <c:pt idx="2">
                  <c:v>1000</c:v>
                </c:pt>
                <c:pt idx="3">
                  <c:v>1500</c:v>
                </c:pt>
                <c:pt idx="4">
                  <c:v>2000</c:v>
                </c:pt>
                <c:pt idx="5">
                  <c:v>2250</c:v>
                </c:pt>
              </c:numCache>
            </c:numRef>
          </c:xVal>
          <c:yVal>
            <c:numRef>
              <c:f>'Cost Curves S-PSH'!$M$205:$M$210</c:f>
              <c:numCache>
                <c:formatCode>General</c:formatCode>
                <c:ptCount val="6"/>
                <c:pt idx="0">
                  <c:v>190</c:v>
                </c:pt>
                <c:pt idx="1">
                  <c:v>179.5</c:v>
                </c:pt>
                <c:pt idx="2">
                  <c:v>170.5</c:v>
                </c:pt>
                <c:pt idx="3">
                  <c:v>174</c:v>
                </c:pt>
                <c:pt idx="4">
                  <c:v>180</c:v>
                </c:pt>
                <c:pt idx="5">
                  <c:v>185</c:v>
                </c:pt>
              </c:numCache>
            </c:numRef>
          </c:yVal>
          <c:smooth val="0"/>
          <c:extLst>
            <c:ext xmlns:c16="http://schemas.microsoft.com/office/drawing/2014/chart" uri="{C3380CC4-5D6E-409C-BE32-E72D297353CC}">
              <c16:uniqueId val="{00000003-AC92-7149-BDC9-271BBBC82BA0}"/>
            </c:ext>
          </c:extLst>
        </c:ser>
        <c:ser>
          <c:idx val="2"/>
          <c:order val="2"/>
          <c:tx>
            <c:strRef>
              <c:f>'Cost Curves S-PSH'!$N$204</c:f>
              <c:strCache>
                <c:ptCount val="1"/>
                <c:pt idx="0">
                  <c:v>500 MW</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0"/>
            <c:dispEq val="1"/>
            <c:trendlineLbl>
              <c:layout>
                <c:manualLayout>
                  <c:x val="-0.21785526788201048"/>
                  <c:y val="0.2263232405563373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S-PSH'!$K$205:$K$210</c:f>
              <c:numCache>
                <c:formatCode>General</c:formatCode>
                <c:ptCount val="6"/>
                <c:pt idx="0">
                  <c:v>350</c:v>
                </c:pt>
                <c:pt idx="1">
                  <c:v>500</c:v>
                </c:pt>
                <c:pt idx="2">
                  <c:v>1000</c:v>
                </c:pt>
                <c:pt idx="3">
                  <c:v>1500</c:v>
                </c:pt>
                <c:pt idx="4">
                  <c:v>2000</c:v>
                </c:pt>
                <c:pt idx="5">
                  <c:v>2250</c:v>
                </c:pt>
              </c:numCache>
            </c:numRef>
          </c:xVal>
          <c:yVal>
            <c:numRef>
              <c:f>'Cost Curves S-PSH'!$N$205:$N$210</c:f>
              <c:numCache>
                <c:formatCode>General</c:formatCode>
                <c:ptCount val="6"/>
                <c:pt idx="0">
                  <c:v>185</c:v>
                </c:pt>
                <c:pt idx="1">
                  <c:v>176</c:v>
                </c:pt>
                <c:pt idx="2">
                  <c:v>167</c:v>
                </c:pt>
                <c:pt idx="3">
                  <c:v>168</c:v>
                </c:pt>
                <c:pt idx="4">
                  <c:v>176</c:v>
                </c:pt>
                <c:pt idx="5">
                  <c:v>180</c:v>
                </c:pt>
              </c:numCache>
            </c:numRef>
          </c:yVal>
          <c:smooth val="0"/>
          <c:extLst>
            <c:ext xmlns:c16="http://schemas.microsoft.com/office/drawing/2014/chart" uri="{C3380CC4-5D6E-409C-BE32-E72D297353CC}">
              <c16:uniqueId val="{00000005-AC92-7149-BDC9-271BBBC82BA0}"/>
            </c:ext>
          </c:extLst>
        </c:ser>
        <c:ser>
          <c:idx val="3"/>
          <c:order val="3"/>
          <c:tx>
            <c:strRef>
              <c:f>'Cost Curves S-PSH'!$O$204</c:f>
              <c:strCache>
                <c:ptCount val="1"/>
                <c:pt idx="0">
                  <c:v>750 MW</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ly"/>
            <c:order val="2"/>
            <c:dispRSqr val="0"/>
            <c:dispEq val="1"/>
            <c:trendlineLbl>
              <c:layout>
                <c:manualLayout>
                  <c:x val="-0.2330630180609107"/>
                  <c:y val="0.2662186731326055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S-PSH'!$K$205:$K$210</c:f>
              <c:numCache>
                <c:formatCode>General</c:formatCode>
                <c:ptCount val="6"/>
                <c:pt idx="0">
                  <c:v>350</c:v>
                </c:pt>
                <c:pt idx="1">
                  <c:v>500</c:v>
                </c:pt>
                <c:pt idx="2">
                  <c:v>1000</c:v>
                </c:pt>
                <c:pt idx="3">
                  <c:v>1500</c:v>
                </c:pt>
                <c:pt idx="4">
                  <c:v>2000</c:v>
                </c:pt>
                <c:pt idx="5">
                  <c:v>2250</c:v>
                </c:pt>
              </c:numCache>
            </c:numRef>
          </c:xVal>
          <c:yVal>
            <c:numRef>
              <c:f>'Cost Curves S-PSH'!$O$205:$O$210</c:f>
              <c:numCache>
                <c:formatCode>General</c:formatCode>
                <c:ptCount val="6"/>
                <c:pt idx="0">
                  <c:v>183</c:v>
                </c:pt>
                <c:pt idx="1">
                  <c:v>171.5</c:v>
                </c:pt>
                <c:pt idx="2">
                  <c:v>162</c:v>
                </c:pt>
                <c:pt idx="3">
                  <c:v>164</c:v>
                </c:pt>
                <c:pt idx="4">
                  <c:v>173</c:v>
                </c:pt>
                <c:pt idx="5">
                  <c:v>176</c:v>
                </c:pt>
              </c:numCache>
            </c:numRef>
          </c:yVal>
          <c:smooth val="0"/>
          <c:extLst>
            <c:ext xmlns:c16="http://schemas.microsoft.com/office/drawing/2014/chart" uri="{C3380CC4-5D6E-409C-BE32-E72D297353CC}">
              <c16:uniqueId val="{00000007-AC92-7149-BDC9-271BBBC82BA0}"/>
            </c:ext>
          </c:extLst>
        </c:ser>
        <c:dLbls>
          <c:showLegendKey val="0"/>
          <c:showVal val="0"/>
          <c:showCatName val="0"/>
          <c:showSerName val="0"/>
          <c:showPercent val="0"/>
          <c:showBubbleSize val="0"/>
        </c:dLbls>
        <c:axId val="1974972671"/>
        <c:axId val="1975319647"/>
      </c:scatterChart>
      <c:valAx>
        <c:axId val="197497267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5319647"/>
        <c:crosses val="autoZero"/>
        <c:crossBetween val="midCat"/>
      </c:valAx>
      <c:valAx>
        <c:axId val="197531964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9726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kern="1200" spc="0" baseline="0">
                <a:solidFill>
                  <a:srgbClr val="595959"/>
                </a:solidFill>
                <a:effectLst/>
                <a:latin typeface="Calibri" panose="020F0502020204030204" pitchFamily="34" charset="0"/>
              </a:rPr>
              <a:t>Surface Powerstation Equipment Costs $/kW</a:t>
            </a:r>
            <a:endParaRPr lang="en-US">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scatterChart>
        <c:scatterStyle val="lineMarker"/>
        <c:varyColors val="0"/>
        <c:ser>
          <c:idx val="0"/>
          <c:order val="0"/>
          <c:tx>
            <c:strRef>
              <c:f>'Cost Curves S-PSH'!$B$204</c:f>
              <c:strCache>
                <c:ptCount val="1"/>
                <c:pt idx="0">
                  <c:v>160 MW</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0.33038413768849356"/>
                  <c:y val="-6.80600303646232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S-PSH'!$A$205:$A$210</c:f>
              <c:numCache>
                <c:formatCode>General</c:formatCode>
                <c:ptCount val="6"/>
                <c:pt idx="0">
                  <c:v>350</c:v>
                </c:pt>
                <c:pt idx="1">
                  <c:v>500</c:v>
                </c:pt>
                <c:pt idx="2">
                  <c:v>1000</c:v>
                </c:pt>
                <c:pt idx="3">
                  <c:v>1500</c:v>
                </c:pt>
                <c:pt idx="4">
                  <c:v>2000</c:v>
                </c:pt>
                <c:pt idx="5">
                  <c:v>2250</c:v>
                </c:pt>
              </c:numCache>
            </c:numRef>
          </c:xVal>
          <c:yVal>
            <c:numRef>
              <c:f>'Cost Curves S-PSH'!$B$205:$B$210</c:f>
              <c:numCache>
                <c:formatCode>General</c:formatCode>
                <c:ptCount val="6"/>
                <c:pt idx="0">
                  <c:v>237</c:v>
                </c:pt>
                <c:pt idx="1">
                  <c:v>236.5</c:v>
                </c:pt>
                <c:pt idx="2">
                  <c:v>234</c:v>
                </c:pt>
                <c:pt idx="3">
                  <c:v>234.5</c:v>
                </c:pt>
                <c:pt idx="4">
                  <c:v>238.5</c:v>
                </c:pt>
                <c:pt idx="5">
                  <c:v>245</c:v>
                </c:pt>
              </c:numCache>
            </c:numRef>
          </c:yVal>
          <c:smooth val="0"/>
          <c:extLst>
            <c:ext xmlns:c16="http://schemas.microsoft.com/office/drawing/2014/chart" uri="{C3380CC4-5D6E-409C-BE32-E72D297353CC}">
              <c16:uniqueId val="{00000001-8D98-4744-BDE0-3677D350B4F9}"/>
            </c:ext>
          </c:extLst>
        </c:ser>
        <c:ser>
          <c:idx val="1"/>
          <c:order val="1"/>
          <c:tx>
            <c:strRef>
              <c:f>'Cost Curves S-PSH'!$C$204</c:f>
              <c:strCache>
                <c:ptCount val="1"/>
                <c:pt idx="0">
                  <c:v>240 MW</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0.33791257595364682"/>
                  <c:y val="-0.2011886972517196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S-PSH'!$A$205:$A$210</c:f>
              <c:numCache>
                <c:formatCode>General</c:formatCode>
                <c:ptCount val="6"/>
                <c:pt idx="0">
                  <c:v>350</c:v>
                </c:pt>
                <c:pt idx="1">
                  <c:v>500</c:v>
                </c:pt>
                <c:pt idx="2">
                  <c:v>1000</c:v>
                </c:pt>
                <c:pt idx="3">
                  <c:v>1500</c:v>
                </c:pt>
                <c:pt idx="4">
                  <c:v>2000</c:v>
                </c:pt>
                <c:pt idx="5">
                  <c:v>2250</c:v>
                </c:pt>
              </c:numCache>
            </c:numRef>
          </c:xVal>
          <c:yVal>
            <c:numRef>
              <c:f>'Cost Curves S-PSH'!$C$205:$C$210</c:f>
              <c:numCache>
                <c:formatCode>General</c:formatCode>
                <c:ptCount val="6"/>
                <c:pt idx="0">
                  <c:v>225</c:v>
                </c:pt>
                <c:pt idx="1">
                  <c:v>224</c:v>
                </c:pt>
                <c:pt idx="2">
                  <c:v>222</c:v>
                </c:pt>
                <c:pt idx="3">
                  <c:v>223</c:v>
                </c:pt>
                <c:pt idx="4">
                  <c:v>228</c:v>
                </c:pt>
                <c:pt idx="5">
                  <c:v>234</c:v>
                </c:pt>
              </c:numCache>
            </c:numRef>
          </c:yVal>
          <c:smooth val="0"/>
          <c:extLst>
            <c:ext xmlns:c16="http://schemas.microsoft.com/office/drawing/2014/chart" uri="{C3380CC4-5D6E-409C-BE32-E72D297353CC}">
              <c16:uniqueId val="{00000003-8D98-4744-BDE0-3677D350B4F9}"/>
            </c:ext>
          </c:extLst>
        </c:ser>
        <c:ser>
          <c:idx val="2"/>
          <c:order val="2"/>
          <c:tx>
            <c:strRef>
              <c:f>'Cost Curves S-PSH'!$D$204</c:f>
              <c:strCache>
                <c:ptCount val="1"/>
                <c:pt idx="0">
                  <c:v>320 MW</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0"/>
            <c:dispEq val="1"/>
            <c:trendlineLbl>
              <c:layout>
                <c:manualLayout>
                  <c:x val="-0.32932243485622836"/>
                  <c:y val="-0.2364410081328319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S-PSH'!$A$205:$A$210</c:f>
              <c:numCache>
                <c:formatCode>General</c:formatCode>
                <c:ptCount val="6"/>
                <c:pt idx="0">
                  <c:v>350</c:v>
                </c:pt>
                <c:pt idx="1">
                  <c:v>500</c:v>
                </c:pt>
                <c:pt idx="2">
                  <c:v>1000</c:v>
                </c:pt>
                <c:pt idx="3">
                  <c:v>1500</c:v>
                </c:pt>
                <c:pt idx="4">
                  <c:v>2000</c:v>
                </c:pt>
                <c:pt idx="5">
                  <c:v>2250</c:v>
                </c:pt>
              </c:numCache>
            </c:numRef>
          </c:xVal>
          <c:yVal>
            <c:numRef>
              <c:f>'Cost Curves S-PSH'!$D$205:$D$210</c:f>
              <c:numCache>
                <c:formatCode>General</c:formatCode>
                <c:ptCount val="6"/>
                <c:pt idx="0">
                  <c:v>219</c:v>
                </c:pt>
                <c:pt idx="1">
                  <c:v>217</c:v>
                </c:pt>
                <c:pt idx="2">
                  <c:v>216</c:v>
                </c:pt>
                <c:pt idx="3">
                  <c:v>216.5</c:v>
                </c:pt>
                <c:pt idx="4">
                  <c:v>224</c:v>
                </c:pt>
                <c:pt idx="5">
                  <c:v>228</c:v>
                </c:pt>
              </c:numCache>
            </c:numRef>
          </c:yVal>
          <c:smooth val="0"/>
          <c:extLst>
            <c:ext xmlns:c16="http://schemas.microsoft.com/office/drawing/2014/chart" uri="{C3380CC4-5D6E-409C-BE32-E72D297353CC}">
              <c16:uniqueId val="{00000005-8D98-4744-BDE0-3677D350B4F9}"/>
            </c:ext>
          </c:extLst>
        </c:ser>
        <c:ser>
          <c:idx val="3"/>
          <c:order val="3"/>
          <c:tx>
            <c:strRef>
              <c:f>'Cost Curves S-PSH'!$E$204</c:f>
              <c:strCache>
                <c:ptCount val="1"/>
                <c:pt idx="0">
                  <c:v>480 MW</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ly"/>
            <c:order val="2"/>
            <c:dispRSqr val="0"/>
            <c:dispEq val="1"/>
            <c:trendlineLbl>
              <c:layout>
                <c:manualLayout>
                  <c:x val="-0.31590637179396808"/>
                  <c:y val="-0.2971561573799960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S-PSH'!$A$205:$A$210</c:f>
              <c:numCache>
                <c:formatCode>General</c:formatCode>
                <c:ptCount val="6"/>
                <c:pt idx="0">
                  <c:v>350</c:v>
                </c:pt>
                <c:pt idx="1">
                  <c:v>500</c:v>
                </c:pt>
                <c:pt idx="2">
                  <c:v>1000</c:v>
                </c:pt>
                <c:pt idx="3">
                  <c:v>1500</c:v>
                </c:pt>
                <c:pt idx="4">
                  <c:v>2000</c:v>
                </c:pt>
                <c:pt idx="5">
                  <c:v>2250</c:v>
                </c:pt>
              </c:numCache>
            </c:numRef>
          </c:xVal>
          <c:yVal>
            <c:numRef>
              <c:f>'Cost Curves S-PSH'!$E$205:$E$210</c:f>
              <c:numCache>
                <c:formatCode>General</c:formatCode>
                <c:ptCount val="6"/>
                <c:pt idx="0">
                  <c:v>214</c:v>
                </c:pt>
                <c:pt idx="1">
                  <c:v>213</c:v>
                </c:pt>
                <c:pt idx="2">
                  <c:v>210</c:v>
                </c:pt>
                <c:pt idx="3">
                  <c:v>212</c:v>
                </c:pt>
                <c:pt idx="4">
                  <c:v>217</c:v>
                </c:pt>
                <c:pt idx="5">
                  <c:v>222</c:v>
                </c:pt>
              </c:numCache>
            </c:numRef>
          </c:yVal>
          <c:smooth val="0"/>
          <c:extLst>
            <c:ext xmlns:c16="http://schemas.microsoft.com/office/drawing/2014/chart" uri="{C3380CC4-5D6E-409C-BE32-E72D297353CC}">
              <c16:uniqueId val="{00000007-8D98-4744-BDE0-3677D350B4F9}"/>
            </c:ext>
          </c:extLst>
        </c:ser>
        <c:dLbls>
          <c:showLegendKey val="0"/>
          <c:showVal val="0"/>
          <c:showCatName val="0"/>
          <c:showSerName val="0"/>
          <c:showPercent val="0"/>
          <c:showBubbleSize val="0"/>
        </c:dLbls>
        <c:axId val="1478812591"/>
        <c:axId val="1478814239"/>
      </c:scatterChart>
      <c:valAx>
        <c:axId val="14788125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8814239"/>
        <c:crosses val="autoZero"/>
        <c:crossBetween val="midCat"/>
      </c:valAx>
      <c:valAx>
        <c:axId val="1478814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88125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kern="1200" spc="0" baseline="0">
                <a:solidFill>
                  <a:srgbClr val="595959"/>
                </a:solidFill>
                <a:effectLst/>
                <a:latin typeface="Calibri" panose="020F0502020204030204" pitchFamily="34" charset="0"/>
              </a:rPr>
              <a:t>Surface Powerstation Equipment Costs $/kW</a:t>
            </a:r>
            <a:endParaRPr lang="en-US">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scatterChart>
        <c:scatterStyle val="lineMarker"/>
        <c:varyColors val="0"/>
        <c:ser>
          <c:idx val="0"/>
          <c:order val="0"/>
          <c:tx>
            <c:strRef>
              <c:f>'Cost Curves S-PSH'!$V$204</c:f>
              <c:strCache>
                <c:ptCount val="1"/>
                <c:pt idx="0">
                  <c:v>450 MW</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9.6401949129078457E-2"/>
                  <c:y val="0.1658525354869348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S-PSH'!$U$205:$U$210</c:f>
              <c:numCache>
                <c:formatCode>General</c:formatCode>
                <c:ptCount val="6"/>
                <c:pt idx="0">
                  <c:v>350</c:v>
                </c:pt>
                <c:pt idx="1">
                  <c:v>500</c:v>
                </c:pt>
                <c:pt idx="2">
                  <c:v>1000</c:v>
                </c:pt>
                <c:pt idx="3">
                  <c:v>1500</c:v>
                </c:pt>
                <c:pt idx="4">
                  <c:v>2000</c:v>
                </c:pt>
                <c:pt idx="5">
                  <c:v>2250</c:v>
                </c:pt>
              </c:numCache>
            </c:numRef>
          </c:xVal>
          <c:yVal>
            <c:numRef>
              <c:f>'Cost Curves S-PSH'!$V$205:$V$210</c:f>
              <c:numCache>
                <c:formatCode>General</c:formatCode>
                <c:ptCount val="6"/>
                <c:pt idx="0">
                  <c:v>157</c:v>
                </c:pt>
                <c:pt idx="1">
                  <c:v>151</c:v>
                </c:pt>
                <c:pt idx="2">
                  <c:v>144</c:v>
                </c:pt>
                <c:pt idx="3">
                  <c:v>144</c:v>
                </c:pt>
                <c:pt idx="4">
                  <c:v>146</c:v>
                </c:pt>
                <c:pt idx="5">
                  <c:v>150</c:v>
                </c:pt>
              </c:numCache>
            </c:numRef>
          </c:yVal>
          <c:smooth val="0"/>
          <c:extLst>
            <c:ext xmlns:c16="http://schemas.microsoft.com/office/drawing/2014/chart" uri="{C3380CC4-5D6E-409C-BE32-E72D297353CC}">
              <c16:uniqueId val="{00000001-931B-0D48-A682-4EB49301137F}"/>
            </c:ext>
          </c:extLst>
        </c:ser>
        <c:ser>
          <c:idx val="1"/>
          <c:order val="1"/>
          <c:tx>
            <c:strRef>
              <c:f>'Cost Curves S-PSH'!$W$204</c:f>
              <c:strCache>
                <c:ptCount val="1"/>
                <c:pt idx="0">
                  <c:v>675 MW</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9.6401949129078457E-2"/>
                  <c:y val="0.1881166264222122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S-PSH'!$U$205:$U$210</c:f>
              <c:numCache>
                <c:formatCode>General</c:formatCode>
                <c:ptCount val="6"/>
                <c:pt idx="0">
                  <c:v>350</c:v>
                </c:pt>
                <c:pt idx="1">
                  <c:v>500</c:v>
                </c:pt>
                <c:pt idx="2">
                  <c:v>1000</c:v>
                </c:pt>
                <c:pt idx="3">
                  <c:v>1500</c:v>
                </c:pt>
                <c:pt idx="4">
                  <c:v>2000</c:v>
                </c:pt>
                <c:pt idx="5">
                  <c:v>2250</c:v>
                </c:pt>
              </c:numCache>
            </c:numRef>
          </c:xVal>
          <c:yVal>
            <c:numRef>
              <c:f>'Cost Curves S-PSH'!$W$205:$W$210</c:f>
              <c:numCache>
                <c:formatCode>General</c:formatCode>
                <c:ptCount val="6"/>
                <c:pt idx="0">
                  <c:v>151</c:v>
                </c:pt>
                <c:pt idx="1">
                  <c:v>144.5</c:v>
                </c:pt>
                <c:pt idx="2">
                  <c:v>137</c:v>
                </c:pt>
                <c:pt idx="3">
                  <c:v>137.5</c:v>
                </c:pt>
                <c:pt idx="4">
                  <c:v>143</c:v>
                </c:pt>
                <c:pt idx="5">
                  <c:v>144.5</c:v>
                </c:pt>
              </c:numCache>
            </c:numRef>
          </c:yVal>
          <c:smooth val="0"/>
          <c:extLst>
            <c:ext xmlns:c16="http://schemas.microsoft.com/office/drawing/2014/chart" uri="{C3380CC4-5D6E-409C-BE32-E72D297353CC}">
              <c16:uniqueId val="{00000003-931B-0D48-A682-4EB49301137F}"/>
            </c:ext>
          </c:extLst>
        </c:ser>
        <c:ser>
          <c:idx val="2"/>
          <c:order val="2"/>
          <c:tx>
            <c:strRef>
              <c:f>'Cost Curves S-PSH'!$X$204</c:f>
              <c:strCache>
                <c:ptCount val="1"/>
                <c:pt idx="0">
                  <c:v>900 MW</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0"/>
            <c:dispEq val="1"/>
            <c:trendlineLbl>
              <c:layout>
                <c:manualLayout>
                  <c:x val="-9.6401949129078457E-2"/>
                  <c:y val="0.2071154899685905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S-PSH'!$U$205:$U$210</c:f>
              <c:numCache>
                <c:formatCode>General</c:formatCode>
                <c:ptCount val="6"/>
                <c:pt idx="0">
                  <c:v>350</c:v>
                </c:pt>
                <c:pt idx="1">
                  <c:v>500</c:v>
                </c:pt>
                <c:pt idx="2">
                  <c:v>1000</c:v>
                </c:pt>
                <c:pt idx="3">
                  <c:v>1500</c:v>
                </c:pt>
                <c:pt idx="4">
                  <c:v>2000</c:v>
                </c:pt>
                <c:pt idx="5">
                  <c:v>2250</c:v>
                </c:pt>
              </c:numCache>
            </c:numRef>
          </c:xVal>
          <c:yVal>
            <c:numRef>
              <c:f>'Cost Curves S-PSH'!$X$205:$X$210</c:f>
              <c:numCache>
                <c:formatCode>General</c:formatCode>
                <c:ptCount val="6"/>
                <c:pt idx="0">
                  <c:v>146</c:v>
                </c:pt>
                <c:pt idx="1">
                  <c:v>142</c:v>
                </c:pt>
                <c:pt idx="2">
                  <c:v>134</c:v>
                </c:pt>
                <c:pt idx="3">
                  <c:v>134</c:v>
                </c:pt>
                <c:pt idx="4">
                  <c:v>137</c:v>
                </c:pt>
                <c:pt idx="5">
                  <c:v>140.5</c:v>
                </c:pt>
              </c:numCache>
            </c:numRef>
          </c:yVal>
          <c:smooth val="0"/>
          <c:extLst>
            <c:ext xmlns:c16="http://schemas.microsoft.com/office/drawing/2014/chart" uri="{C3380CC4-5D6E-409C-BE32-E72D297353CC}">
              <c16:uniqueId val="{00000005-931B-0D48-A682-4EB49301137F}"/>
            </c:ext>
          </c:extLst>
        </c:ser>
        <c:ser>
          <c:idx val="3"/>
          <c:order val="3"/>
          <c:tx>
            <c:strRef>
              <c:f>'Cost Curves S-PSH'!$Y$204</c:f>
              <c:strCache>
                <c:ptCount val="1"/>
                <c:pt idx="0">
                  <c:v>1350 MW</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ly"/>
            <c:order val="2"/>
            <c:dispRSqr val="0"/>
            <c:dispEq val="1"/>
            <c:trendlineLbl>
              <c:layout>
                <c:manualLayout>
                  <c:x val="-9.6401949129078457E-2"/>
                  <c:y val="0.2405497095429954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S-PSH'!$U$205:$U$210</c:f>
              <c:numCache>
                <c:formatCode>General</c:formatCode>
                <c:ptCount val="6"/>
                <c:pt idx="0">
                  <c:v>350</c:v>
                </c:pt>
                <c:pt idx="1">
                  <c:v>500</c:v>
                </c:pt>
                <c:pt idx="2">
                  <c:v>1000</c:v>
                </c:pt>
                <c:pt idx="3">
                  <c:v>1500</c:v>
                </c:pt>
                <c:pt idx="4">
                  <c:v>2000</c:v>
                </c:pt>
                <c:pt idx="5">
                  <c:v>2250</c:v>
                </c:pt>
              </c:numCache>
            </c:numRef>
          </c:xVal>
          <c:yVal>
            <c:numRef>
              <c:f>'Cost Curves S-PSH'!$Y$205:$Y$210</c:f>
              <c:numCache>
                <c:formatCode>General</c:formatCode>
                <c:ptCount val="6"/>
                <c:pt idx="0">
                  <c:v>144</c:v>
                </c:pt>
                <c:pt idx="1">
                  <c:v>136</c:v>
                </c:pt>
                <c:pt idx="2">
                  <c:v>130.5</c:v>
                </c:pt>
                <c:pt idx="3">
                  <c:v>131</c:v>
                </c:pt>
                <c:pt idx="4">
                  <c:v>135</c:v>
                </c:pt>
                <c:pt idx="5">
                  <c:v>137</c:v>
                </c:pt>
              </c:numCache>
            </c:numRef>
          </c:yVal>
          <c:smooth val="0"/>
          <c:extLst>
            <c:ext xmlns:c16="http://schemas.microsoft.com/office/drawing/2014/chart" uri="{C3380CC4-5D6E-409C-BE32-E72D297353CC}">
              <c16:uniqueId val="{00000007-931B-0D48-A682-4EB49301137F}"/>
            </c:ext>
          </c:extLst>
        </c:ser>
        <c:dLbls>
          <c:showLegendKey val="0"/>
          <c:showVal val="0"/>
          <c:showCatName val="0"/>
          <c:showSerName val="0"/>
          <c:showPercent val="0"/>
          <c:showBubbleSize val="0"/>
        </c:dLbls>
        <c:axId val="1949426287"/>
        <c:axId val="2005312415"/>
      </c:scatterChart>
      <c:valAx>
        <c:axId val="194942628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5312415"/>
        <c:crosses val="autoZero"/>
        <c:crossBetween val="midCat"/>
      </c:valAx>
      <c:valAx>
        <c:axId val="20053124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942628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kern="1200" spc="0" baseline="0">
                <a:solidFill>
                  <a:srgbClr val="595959"/>
                </a:solidFill>
                <a:effectLst/>
                <a:latin typeface="Calibri" panose="020F0502020204030204" pitchFamily="34" charset="0"/>
              </a:rPr>
              <a:t>Surface Powerstation Equipment Costs $/kW</a:t>
            </a:r>
            <a:endParaRPr lang="en-US">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scatterChart>
        <c:scatterStyle val="lineMarker"/>
        <c:varyColors val="0"/>
        <c:ser>
          <c:idx val="0"/>
          <c:order val="0"/>
          <c:tx>
            <c:strRef>
              <c:f>'Cost Curves S-PSH'!$AF$204</c:f>
              <c:strCache>
                <c:ptCount val="1"/>
                <c:pt idx="0">
                  <c:v>700 MW</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0.10889951212117177"/>
                  <c:y val="0.1645630913567233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S-PSH'!$AE$205:$AE$210</c:f>
              <c:numCache>
                <c:formatCode>General</c:formatCode>
                <c:ptCount val="6"/>
                <c:pt idx="0">
                  <c:v>350</c:v>
                </c:pt>
                <c:pt idx="1">
                  <c:v>500</c:v>
                </c:pt>
                <c:pt idx="2">
                  <c:v>1000</c:v>
                </c:pt>
                <c:pt idx="3">
                  <c:v>1500</c:v>
                </c:pt>
                <c:pt idx="4">
                  <c:v>2000</c:v>
                </c:pt>
                <c:pt idx="5">
                  <c:v>2250</c:v>
                </c:pt>
              </c:numCache>
            </c:numRef>
          </c:xVal>
          <c:yVal>
            <c:numRef>
              <c:f>'Cost Curves S-PSH'!$AF$205:$AF$210</c:f>
              <c:numCache>
                <c:formatCode>General</c:formatCode>
                <c:ptCount val="6"/>
                <c:pt idx="0">
                  <c:v>133</c:v>
                </c:pt>
                <c:pt idx="1">
                  <c:v>124</c:v>
                </c:pt>
                <c:pt idx="2">
                  <c:v>111.5</c:v>
                </c:pt>
                <c:pt idx="3">
                  <c:v>110</c:v>
                </c:pt>
                <c:pt idx="4">
                  <c:v>110.5</c:v>
                </c:pt>
                <c:pt idx="5">
                  <c:v>111</c:v>
                </c:pt>
              </c:numCache>
            </c:numRef>
          </c:yVal>
          <c:smooth val="0"/>
          <c:extLst>
            <c:ext xmlns:c16="http://schemas.microsoft.com/office/drawing/2014/chart" uri="{C3380CC4-5D6E-409C-BE32-E72D297353CC}">
              <c16:uniqueId val="{00000001-C8D6-4E4C-8E58-A1BB8D89E483}"/>
            </c:ext>
          </c:extLst>
        </c:ser>
        <c:ser>
          <c:idx val="1"/>
          <c:order val="1"/>
          <c:tx>
            <c:strRef>
              <c:f>'Cost Curves S-PSH'!$AG$204</c:f>
              <c:strCache>
                <c:ptCount val="1"/>
                <c:pt idx="0">
                  <c:v>1050 MW</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0.11555998512701955"/>
                  <c:y val="0.1725935671812393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S-PSH'!$AE$205:$AE$210</c:f>
              <c:numCache>
                <c:formatCode>General</c:formatCode>
                <c:ptCount val="6"/>
                <c:pt idx="0">
                  <c:v>350</c:v>
                </c:pt>
                <c:pt idx="1">
                  <c:v>500</c:v>
                </c:pt>
                <c:pt idx="2">
                  <c:v>1000</c:v>
                </c:pt>
                <c:pt idx="3">
                  <c:v>1500</c:v>
                </c:pt>
                <c:pt idx="4">
                  <c:v>2000</c:v>
                </c:pt>
                <c:pt idx="5">
                  <c:v>2250</c:v>
                </c:pt>
              </c:numCache>
            </c:numRef>
          </c:xVal>
          <c:yVal>
            <c:numRef>
              <c:f>'Cost Curves S-PSH'!$AG$205:$AG$210</c:f>
              <c:numCache>
                <c:formatCode>General</c:formatCode>
                <c:ptCount val="6"/>
                <c:pt idx="0">
                  <c:v>126</c:v>
                </c:pt>
                <c:pt idx="1">
                  <c:v>117</c:v>
                </c:pt>
                <c:pt idx="2">
                  <c:v>105.5</c:v>
                </c:pt>
                <c:pt idx="3">
                  <c:v>105</c:v>
                </c:pt>
                <c:pt idx="4">
                  <c:v>105</c:v>
                </c:pt>
                <c:pt idx="5">
                  <c:v>105.3</c:v>
                </c:pt>
              </c:numCache>
            </c:numRef>
          </c:yVal>
          <c:smooth val="0"/>
          <c:extLst>
            <c:ext xmlns:c16="http://schemas.microsoft.com/office/drawing/2014/chart" uri="{C3380CC4-5D6E-409C-BE32-E72D297353CC}">
              <c16:uniqueId val="{00000003-C8D6-4E4C-8E58-A1BB8D89E483}"/>
            </c:ext>
          </c:extLst>
        </c:ser>
        <c:ser>
          <c:idx val="2"/>
          <c:order val="2"/>
          <c:tx>
            <c:strRef>
              <c:f>'Cost Curves S-PSH'!$AH$204</c:f>
              <c:strCache>
                <c:ptCount val="1"/>
                <c:pt idx="0">
                  <c:v>1400 MW</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0"/>
            <c:dispEq val="0"/>
          </c:trendline>
          <c:trendline>
            <c:spPr>
              <a:ln w="19050" cap="rnd">
                <a:solidFill>
                  <a:schemeClr val="accent3"/>
                </a:solidFill>
                <a:prstDash val="sysDot"/>
              </a:ln>
              <a:effectLst/>
            </c:spPr>
            <c:trendlineType val="poly"/>
            <c:order val="2"/>
            <c:dispRSqr val="0"/>
            <c:dispEq val="1"/>
            <c:trendlineLbl>
              <c:layout>
                <c:manualLayout>
                  <c:x val="-0.10369601758535318"/>
                  <c:y val="0.2052016349145252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S-PSH'!$AE$205:$AE$210</c:f>
              <c:numCache>
                <c:formatCode>General</c:formatCode>
                <c:ptCount val="6"/>
                <c:pt idx="0">
                  <c:v>350</c:v>
                </c:pt>
                <c:pt idx="1">
                  <c:v>500</c:v>
                </c:pt>
                <c:pt idx="2">
                  <c:v>1000</c:v>
                </c:pt>
                <c:pt idx="3">
                  <c:v>1500</c:v>
                </c:pt>
                <c:pt idx="4">
                  <c:v>2000</c:v>
                </c:pt>
                <c:pt idx="5">
                  <c:v>2250</c:v>
                </c:pt>
              </c:numCache>
            </c:numRef>
          </c:xVal>
          <c:yVal>
            <c:numRef>
              <c:f>'Cost Curves S-PSH'!$AH$205:$AH$210</c:f>
              <c:numCache>
                <c:formatCode>General</c:formatCode>
                <c:ptCount val="6"/>
                <c:pt idx="0">
                  <c:v>124</c:v>
                </c:pt>
                <c:pt idx="1">
                  <c:v>115</c:v>
                </c:pt>
                <c:pt idx="2">
                  <c:v>104</c:v>
                </c:pt>
                <c:pt idx="3">
                  <c:v>104</c:v>
                </c:pt>
                <c:pt idx="4">
                  <c:v>104</c:v>
                </c:pt>
                <c:pt idx="5">
                  <c:v>104</c:v>
                </c:pt>
              </c:numCache>
            </c:numRef>
          </c:yVal>
          <c:smooth val="0"/>
          <c:extLst>
            <c:ext xmlns:c16="http://schemas.microsoft.com/office/drawing/2014/chart" uri="{C3380CC4-5D6E-409C-BE32-E72D297353CC}">
              <c16:uniqueId val="{00000006-C8D6-4E4C-8E58-A1BB8D89E483}"/>
            </c:ext>
          </c:extLst>
        </c:ser>
        <c:ser>
          <c:idx val="3"/>
          <c:order val="3"/>
          <c:tx>
            <c:strRef>
              <c:f>'Cost Curves S-PSH'!$AI$204</c:f>
              <c:strCache>
                <c:ptCount val="1"/>
                <c:pt idx="0">
                  <c:v>2100 MW</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ly"/>
            <c:order val="2"/>
            <c:dispRSqr val="0"/>
            <c:dispEq val="1"/>
            <c:trendlineLbl>
              <c:layout>
                <c:manualLayout>
                  <c:x val="-0.10889951212117177"/>
                  <c:y val="0.2331096803842062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S-PSH'!$AE$205:$AE$210</c:f>
              <c:numCache>
                <c:formatCode>General</c:formatCode>
                <c:ptCount val="6"/>
                <c:pt idx="0">
                  <c:v>350</c:v>
                </c:pt>
                <c:pt idx="1">
                  <c:v>500</c:v>
                </c:pt>
                <c:pt idx="2">
                  <c:v>1000</c:v>
                </c:pt>
                <c:pt idx="3">
                  <c:v>1500</c:v>
                </c:pt>
                <c:pt idx="4">
                  <c:v>2000</c:v>
                </c:pt>
                <c:pt idx="5">
                  <c:v>2250</c:v>
                </c:pt>
              </c:numCache>
            </c:numRef>
          </c:xVal>
          <c:yVal>
            <c:numRef>
              <c:f>'Cost Curves S-PSH'!$AI$205:$AI$210</c:f>
              <c:numCache>
                <c:formatCode>General</c:formatCode>
                <c:ptCount val="6"/>
                <c:pt idx="0">
                  <c:v>120</c:v>
                </c:pt>
                <c:pt idx="1">
                  <c:v>114</c:v>
                </c:pt>
                <c:pt idx="2">
                  <c:v>101</c:v>
                </c:pt>
                <c:pt idx="3">
                  <c:v>100</c:v>
                </c:pt>
                <c:pt idx="4">
                  <c:v>100.5</c:v>
                </c:pt>
                <c:pt idx="5">
                  <c:v>101</c:v>
                </c:pt>
              </c:numCache>
            </c:numRef>
          </c:yVal>
          <c:smooth val="0"/>
          <c:extLst>
            <c:ext xmlns:c16="http://schemas.microsoft.com/office/drawing/2014/chart" uri="{C3380CC4-5D6E-409C-BE32-E72D297353CC}">
              <c16:uniqueId val="{00000008-C8D6-4E4C-8E58-A1BB8D89E483}"/>
            </c:ext>
          </c:extLst>
        </c:ser>
        <c:dLbls>
          <c:showLegendKey val="0"/>
          <c:showVal val="0"/>
          <c:showCatName val="0"/>
          <c:showSerName val="0"/>
          <c:showPercent val="0"/>
          <c:showBubbleSize val="0"/>
        </c:dLbls>
        <c:axId val="1903411135"/>
        <c:axId val="1976356815"/>
      </c:scatterChart>
      <c:valAx>
        <c:axId val="19034111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Head Height in ft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356815"/>
        <c:crosses val="autoZero"/>
        <c:crossBetween val="midCat"/>
      </c:valAx>
      <c:valAx>
        <c:axId val="1976356815"/>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34111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Access Tunnel Costs $/LF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S-PSH'!$B$240</c:f>
              <c:strCache>
                <c:ptCount val="1"/>
                <c:pt idx="0">
                  <c:v>$/LF</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S-PSH'!$A$241:$A$245</c:f>
              <c:numCache>
                <c:formatCode>General</c:formatCode>
                <c:ptCount val="5"/>
                <c:pt idx="0">
                  <c:v>0.25</c:v>
                </c:pt>
                <c:pt idx="1">
                  <c:v>0.5</c:v>
                </c:pt>
                <c:pt idx="2">
                  <c:v>1</c:v>
                </c:pt>
                <c:pt idx="3">
                  <c:v>1.5</c:v>
                </c:pt>
                <c:pt idx="4">
                  <c:v>2</c:v>
                </c:pt>
              </c:numCache>
            </c:numRef>
          </c:xVal>
          <c:yVal>
            <c:numRef>
              <c:f>'Cost Curves S-PSH'!$B$241:$B$245</c:f>
              <c:numCache>
                <c:formatCode>General</c:formatCode>
                <c:ptCount val="5"/>
                <c:pt idx="0">
                  <c:v>2090</c:v>
                </c:pt>
                <c:pt idx="1">
                  <c:v>2330</c:v>
                </c:pt>
                <c:pt idx="2">
                  <c:v>2500</c:v>
                </c:pt>
                <c:pt idx="3">
                  <c:v>2600</c:v>
                </c:pt>
                <c:pt idx="4">
                  <c:v>2690</c:v>
                </c:pt>
              </c:numCache>
            </c:numRef>
          </c:yVal>
          <c:smooth val="0"/>
          <c:extLst>
            <c:ext xmlns:c16="http://schemas.microsoft.com/office/drawing/2014/chart" uri="{C3380CC4-5D6E-409C-BE32-E72D297353CC}">
              <c16:uniqueId val="{00000001-4130-C942-9955-211C72E27B16}"/>
            </c:ext>
          </c:extLst>
        </c:ser>
        <c:dLbls>
          <c:showLegendKey val="0"/>
          <c:showVal val="0"/>
          <c:showCatName val="0"/>
          <c:showSerName val="0"/>
          <c:showPercent val="0"/>
          <c:showBubbleSize val="0"/>
        </c:dLbls>
        <c:axId val="1490963615"/>
        <c:axId val="1490965263"/>
      </c:scatterChart>
      <c:valAx>
        <c:axId val="149096361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Tunnel Length in miles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965263"/>
        <c:crosses val="autoZero"/>
        <c:crossBetween val="midCat"/>
      </c:valAx>
      <c:valAx>
        <c:axId val="14909652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96361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Switchyard Costs $M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S-PSH'!$L$240</c:f>
              <c:strCache>
                <c:ptCount val="1"/>
                <c:pt idx="0">
                  <c:v>115 to 161 kV</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0.33613573454364792"/>
                  <c:y val="-0.4337864807129119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S-PSH'!$K$241:$K$245</c:f>
              <c:numCache>
                <c:formatCode>General</c:formatCode>
                <c:ptCount val="5"/>
                <c:pt idx="0">
                  <c:v>2</c:v>
                </c:pt>
                <c:pt idx="1">
                  <c:v>3</c:v>
                </c:pt>
                <c:pt idx="2">
                  <c:v>4</c:v>
                </c:pt>
                <c:pt idx="3">
                  <c:v>5</c:v>
                </c:pt>
                <c:pt idx="4">
                  <c:v>6</c:v>
                </c:pt>
              </c:numCache>
            </c:numRef>
          </c:xVal>
          <c:yVal>
            <c:numRef>
              <c:f>'Cost Curves S-PSH'!$L$241:$L$245</c:f>
              <c:numCache>
                <c:formatCode>General</c:formatCode>
                <c:ptCount val="5"/>
                <c:pt idx="0">
                  <c:v>1.4</c:v>
                </c:pt>
                <c:pt idx="1">
                  <c:v>2.2000000000000002</c:v>
                </c:pt>
                <c:pt idx="2">
                  <c:v>2.75</c:v>
                </c:pt>
                <c:pt idx="3">
                  <c:v>3.3</c:v>
                </c:pt>
                <c:pt idx="4">
                  <c:v>3.65</c:v>
                </c:pt>
              </c:numCache>
            </c:numRef>
          </c:yVal>
          <c:smooth val="0"/>
          <c:extLst>
            <c:ext xmlns:c16="http://schemas.microsoft.com/office/drawing/2014/chart" uri="{C3380CC4-5D6E-409C-BE32-E72D297353CC}">
              <c16:uniqueId val="{00000001-C91F-2541-B5ED-296AB295CC82}"/>
            </c:ext>
          </c:extLst>
        </c:ser>
        <c:ser>
          <c:idx val="1"/>
          <c:order val="1"/>
          <c:tx>
            <c:strRef>
              <c:f>'Cost Curves S-PSH'!$M$240</c:f>
              <c:strCache>
                <c:ptCount val="1"/>
                <c:pt idx="0">
                  <c:v>230 kV</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0.41668652997157324"/>
                  <c:y val="-0.348782841804340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S-PSH'!$K$241:$K$245</c:f>
              <c:numCache>
                <c:formatCode>General</c:formatCode>
                <c:ptCount val="5"/>
                <c:pt idx="0">
                  <c:v>2</c:v>
                </c:pt>
                <c:pt idx="1">
                  <c:v>3</c:v>
                </c:pt>
                <c:pt idx="2">
                  <c:v>4</c:v>
                </c:pt>
                <c:pt idx="3">
                  <c:v>5</c:v>
                </c:pt>
                <c:pt idx="4">
                  <c:v>6</c:v>
                </c:pt>
              </c:numCache>
            </c:numRef>
          </c:xVal>
          <c:yVal>
            <c:numRef>
              <c:f>'Cost Curves S-PSH'!$M$241:$M$245</c:f>
              <c:numCache>
                <c:formatCode>General</c:formatCode>
                <c:ptCount val="5"/>
                <c:pt idx="0">
                  <c:v>1.7</c:v>
                </c:pt>
                <c:pt idx="1">
                  <c:v>2.8</c:v>
                </c:pt>
                <c:pt idx="2">
                  <c:v>3.7</c:v>
                </c:pt>
                <c:pt idx="3">
                  <c:v>4.4000000000000004</c:v>
                </c:pt>
                <c:pt idx="4">
                  <c:v>4.9000000000000004</c:v>
                </c:pt>
              </c:numCache>
            </c:numRef>
          </c:yVal>
          <c:smooth val="0"/>
          <c:extLst>
            <c:ext xmlns:c16="http://schemas.microsoft.com/office/drawing/2014/chart" uri="{C3380CC4-5D6E-409C-BE32-E72D297353CC}">
              <c16:uniqueId val="{00000003-C91F-2541-B5ED-296AB295CC82}"/>
            </c:ext>
          </c:extLst>
        </c:ser>
        <c:ser>
          <c:idx val="2"/>
          <c:order val="2"/>
          <c:tx>
            <c:strRef>
              <c:f>'Cost Curves S-PSH'!$N$240</c:f>
              <c:strCache>
                <c:ptCount val="1"/>
                <c:pt idx="0">
                  <c:v>345 kV</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0"/>
            <c:dispEq val="1"/>
            <c:trendlineLbl>
              <c:layout>
                <c:manualLayout>
                  <c:x val="-0.34395114160327844"/>
                  <c:y val="-0.180696898986690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S-PSH'!$K$241:$K$245</c:f>
              <c:numCache>
                <c:formatCode>General</c:formatCode>
                <c:ptCount val="5"/>
                <c:pt idx="0">
                  <c:v>2</c:v>
                </c:pt>
                <c:pt idx="1">
                  <c:v>3</c:v>
                </c:pt>
                <c:pt idx="2">
                  <c:v>4</c:v>
                </c:pt>
                <c:pt idx="3">
                  <c:v>5</c:v>
                </c:pt>
                <c:pt idx="4">
                  <c:v>6</c:v>
                </c:pt>
              </c:numCache>
            </c:numRef>
          </c:xVal>
          <c:yVal>
            <c:numRef>
              <c:f>'Cost Curves S-PSH'!$N$241:$N$245</c:f>
              <c:numCache>
                <c:formatCode>General</c:formatCode>
                <c:ptCount val="5"/>
                <c:pt idx="0">
                  <c:v>3.55</c:v>
                </c:pt>
                <c:pt idx="1">
                  <c:v>6.15</c:v>
                </c:pt>
                <c:pt idx="2">
                  <c:v>7.9</c:v>
                </c:pt>
                <c:pt idx="3">
                  <c:v>9.4</c:v>
                </c:pt>
                <c:pt idx="4">
                  <c:v>11</c:v>
                </c:pt>
              </c:numCache>
            </c:numRef>
          </c:yVal>
          <c:smooth val="0"/>
          <c:extLst>
            <c:ext xmlns:c16="http://schemas.microsoft.com/office/drawing/2014/chart" uri="{C3380CC4-5D6E-409C-BE32-E72D297353CC}">
              <c16:uniqueId val="{00000005-C91F-2541-B5ED-296AB295CC82}"/>
            </c:ext>
          </c:extLst>
        </c:ser>
        <c:ser>
          <c:idx val="3"/>
          <c:order val="3"/>
          <c:tx>
            <c:strRef>
              <c:f>'Cost Curves S-PSH'!$O$240</c:f>
              <c:strCache>
                <c:ptCount val="1"/>
                <c:pt idx="0">
                  <c:v>500 kV</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ly"/>
            <c:order val="2"/>
            <c:dispRSqr val="0"/>
            <c:dispEq val="1"/>
            <c:trendlineLbl>
              <c:layout>
                <c:manualLayout>
                  <c:x val="-0.34134600591673492"/>
                  <c:y val="-3.568551976180420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S-PSH'!$K$241:$K$245</c:f>
              <c:numCache>
                <c:formatCode>General</c:formatCode>
                <c:ptCount val="5"/>
                <c:pt idx="0">
                  <c:v>2</c:v>
                </c:pt>
                <c:pt idx="1">
                  <c:v>3</c:v>
                </c:pt>
                <c:pt idx="2">
                  <c:v>4</c:v>
                </c:pt>
                <c:pt idx="3">
                  <c:v>5</c:v>
                </c:pt>
                <c:pt idx="4">
                  <c:v>6</c:v>
                </c:pt>
              </c:numCache>
            </c:numRef>
          </c:xVal>
          <c:yVal>
            <c:numRef>
              <c:f>'Cost Curves S-PSH'!$O$241:$O$245</c:f>
              <c:numCache>
                <c:formatCode>General</c:formatCode>
                <c:ptCount val="5"/>
                <c:pt idx="0">
                  <c:v>7.35</c:v>
                </c:pt>
                <c:pt idx="1">
                  <c:v>13.5</c:v>
                </c:pt>
                <c:pt idx="2">
                  <c:v>16.5</c:v>
                </c:pt>
                <c:pt idx="3">
                  <c:v>19</c:v>
                </c:pt>
                <c:pt idx="4">
                  <c:v>21</c:v>
                </c:pt>
              </c:numCache>
            </c:numRef>
          </c:yVal>
          <c:smooth val="0"/>
          <c:extLst>
            <c:ext xmlns:c16="http://schemas.microsoft.com/office/drawing/2014/chart" uri="{C3380CC4-5D6E-409C-BE32-E72D297353CC}">
              <c16:uniqueId val="{00000007-C91F-2541-B5ED-296AB295CC82}"/>
            </c:ext>
          </c:extLst>
        </c:ser>
        <c:dLbls>
          <c:showLegendKey val="0"/>
          <c:showVal val="0"/>
          <c:showCatName val="0"/>
          <c:showSerName val="0"/>
          <c:showPercent val="0"/>
          <c:showBubbleSize val="0"/>
        </c:dLbls>
        <c:axId val="1992284047"/>
        <c:axId val="1991589327"/>
      </c:scatterChart>
      <c:valAx>
        <c:axId val="199228404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 of Generator Units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1589327"/>
        <c:crosses val="autoZero"/>
        <c:crossBetween val="midCat"/>
      </c:valAx>
      <c:valAx>
        <c:axId val="19915893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MM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228404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Transmission Line Costs, $1000s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S-PSH'!$B$275</c:f>
              <c:strCache>
                <c:ptCount val="1"/>
                <c:pt idx="0">
                  <c:v>138 kV</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0.3122799384955573"/>
                  <c:y val="-1.203458510299819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S-PSH'!$A$276:$A$300</c:f>
              <c:numCache>
                <c:formatCode>General</c:formatCode>
                <c:ptCount val="25"/>
                <c:pt idx="0">
                  <c:v>28.5</c:v>
                </c:pt>
                <c:pt idx="1">
                  <c:v>30</c:v>
                </c:pt>
                <c:pt idx="2">
                  <c:v>40</c:v>
                </c:pt>
                <c:pt idx="3">
                  <c:v>50</c:v>
                </c:pt>
                <c:pt idx="4">
                  <c:v>60</c:v>
                </c:pt>
                <c:pt idx="5">
                  <c:v>70</c:v>
                </c:pt>
                <c:pt idx="6">
                  <c:v>80</c:v>
                </c:pt>
                <c:pt idx="7">
                  <c:v>90</c:v>
                </c:pt>
                <c:pt idx="8">
                  <c:v>100</c:v>
                </c:pt>
                <c:pt idx="9">
                  <c:v>125</c:v>
                </c:pt>
                <c:pt idx="10">
                  <c:v>102</c:v>
                </c:pt>
                <c:pt idx="11">
                  <c:v>150</c:v>
                </c:pt>
                <c:pt idx="12">
                  <c:v>200</c:v>
                </c:pt>
                <c:pt idx="13">
                  <c:v>300</c:v>
                </c:pt>
                <c:pt idx="14">
                  <c:v>340</c:v>
                </c:pt>
                <c:pt idx="15">
                  <c:v>350</c:v>
                </c:pt>
                <c:pt idx="16">
                  <c:v>400</c:v>
                </c:pt>
                <c:pt idx="17">
                  <c:v>500</c:v>
                </c:pt>
                <c:pt idx="18">
                  <c:v>600</c:v>
                </c:pt>
                <c:pt idx="19">
                  <c:v>700</c:v>
                </c:pt>
                <c:pt idx="20">
                  <c:v>800</c:v>
                </c:pt>
                <c:pt idx="21">
                  <c:v>900</c:v>
                </c:pt>
                <c:pt idx="22">
                  <c:v>1000</c:v>
                </c:pt>
                <c:pt idx="23">
                  <c:v>2000</c:v>
                </c:pt>
                <c:pt idx="24">
                  <c:v>3000</c:v>
                </c:pt>
              </c:numCache>
            </c:numRef>
          </c:xVal>
          <c:yVal>
            <c:numRef>
              <c:f>'Cost Curves S-PSH'!$B$276:$B$300</c:f>
              <c:numCache>
                <c:formatCode>General</c:formatCode>
                <c:ptCount val="25"/>
                <c:pt idx="0">
                  <c:v>110</c:v>
                </c:pt>
                <c:pt idx="1">
                  <c:v>112</c:v>
                </c:pt>
                <c:pt idx="2">
                  <c:v>115</c:v>
                </c:pt>
                <c:pt idx="3">
                  <c:v>120</c:v>
                </c:pt>
                <c:pt idx="4">
                  <c:v>122</c:v>
                </c:pt>
                <c:pt idx="5">
                  <c:v>128</c:v>
                </c:pt>
                <c:pt idx="6">
                  <c:v>132</c:v>
                </c:pt>
                <c:pt idx="7">
                  <c:v>140</c:v>
                </c:pt>
                <c:pt idx="8">
                  <c:v>150</c:v>
                </c:pt>
                <c:pt idx="9">
                  <c:v>172</c:v>
                </c:pt>
              </c:numCache>
            </c:numRef>
          </c:yVal>
          <c:smooth val="0"/>
          <c:extLst>
            <c:ext xmlns:c16="http://schemas.microsoft.com/office/drawing/2014/chart" uri="{C3380CC4-5D6E-409C-BE32-E72D297353CC}">
              <c16:uniqueId val="{00000001-E1AC-C842-9519-FD696AEF0166}"/>
            </c:ext>
          </c:extLst>
        </c:ser>
        <c:ser>
          <c:idx val="1"/>
          <c:order val="1"/>
          <c:tx>
            <c:strRef>
              <c:f>'Cost Curves S-PSH'!$C$275</c:f>
              <c:strCache>
                <c:ptCount val="1"/>
                <c:pt idx="0">
                  <c:v>230 kV</c:v>
                </c:pt>
              </c:strCache>
            </c:strRef>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0"/>
            <c:dispEq val="1"/>
            <c:trendlineLbl>
              <c:layout>
                <c:manualLayout>
                  <c:x val="-0.30363766206657677"/>
                  <c:y val="-8.556892432986994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S-PSH'!$A$276:$A$300</c:f>
              <c:numCache>
                <c:formatCode>General</c:formatCode>
                <c:ptCount val="25"/>
                <c:pt idx="0">
                  <c:v>28.5</c:v>
                </c:pt>
                <c:pt idx="1">
                  <c:v>30</c:v>
                </c:pt>
                <c:pt idx="2">
                  <c:v>40</c:v>
                </c:pt>
                <c:pt idx="3">
                  <c:v>50</c:v>
                </c:pt>
                <c:pt idx="4">
                  <c:v>60</c:v>
                </c:pt>
                <c:pt idx="5">
                  <c:v>70</c:v>
                </c:pt>
                <c:pt idx="6">
                  <c:v>80</c:v>
                </c:pt>
                <c:pt idx="7">
                  <c:v>90</c:v>
                </c:pt>
                <c:pt idx="8">
                  <c:v>100</c:v>
                </c:pt>
                <c:pt idx="9">
                  <c:v>125</c:v>
                </c:pt>
                <c:pt idx="10">
                  <c:v>102</c:v>
                </c:pt>
                <c:pt idx="11">
                  <c:v>150</c:v>
                </c:pt>
                <c:pt idx="12">
                  <c:v>200</c:v>
                </c:pt>
                <c:pt idx="13">
                  <c:v>300</c:v>
                </c:pt>
                <c:pt idx="14">
                  <c:v>340</c:v>
                </c:pt>
                <c:pt idx="15">
                  <c:v>350</c:v>
                </c:pt>
                <c:pt idx="16">
                  <c:v>400</c:v>
                </c:pt>
                <c:pt idx="17">
                  <c:v>500</c:v>
                </c:pt>
                <c:pt idx="18">
                  <c:v>600</c:v>
                </c:pt>
                <c:pt idx="19">
                  <c:v>700</c:v>
                </c:pt>
                <c:pt idx="20">
                  <c:v>800</c:v>
                </c:pt>
                <c:pt idx="21">
                  <c:v>900</c:v>
                </c:pt>
                <c:pt idx="22">
                  <c:v>1000</c:v>
                </c:pt>
                <c:pt idx="23">
                  <c:v>2000</c:v>
                </c:pt>
                <c:pt idx="24">
                  <c:v>3000</c:v>
                </c:pt>
              </c:numCache>
            </c:numRef>
          </c:xVal>
          <c:yVal>
            <c:numRef>
              <c:f>'Cost Curves S-PSH'!$C$276:$C$300</c:f>
              <c:numCache>
                <c:formatCode>General</c:formatCode>
                <c:ptCount val="25"/>
                <c:pt idx="10">
                  <c:v>175</c:v>
                </c:pt>
                <c:pt idx="11">
                  <c:v>180</c:v>
                </c:pt>
                <c:pt idx="12">
                  <c:v>190</c:v>
                </c:pt>
                <c:pt idx="13">
                  <c:v>230</c:v>
                </c:pt>
                <c:pt idx="14">
                  <c:v>240</c:v>
                </c:pt>
              </c:numCache>
            </c:numRef>
          </c:yVal>
          <c:smooth val="0"/>
          <c:extLst>
            <c:ext xmlns:c16="http://schemas.microsoft.com/office/drawing/2014/chart" uri="{C3380CC4-5D6E-409C-BE32-E72D297353CC}">
              <c16:uniqueId val="{00000003-E1AC-C842-9519-FD696AEF0166}"/>
            </c:ext>
          </c:extLst>
        </c:ser>
        <c:ser>
          <c:idx val="2"/>
          <c:order val="2"/>
          <c:tx>
            <c:strRef>
              <c:f>'Cost Curves S-PSH'!$D$275</c:f>
              <c:strCache>
                <c:ptCount val="1"/>
                <c:pt idx="0">
                  <c:v>345 kV</c:v>
                </c:pt>
              </c:strCache>
            </c:strRef>
          </c:tx>
          <c:spPr>
            <a:ln w="1905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poly"/>
            <c:order val="2"/>
            <c:dispRSqr val="0"/>
            <c:dispEq val="1"/>
            <c:trendlineLbl>
              <c:layout>
                <c:manualLayout>
                  <c:x val="-0.30849287354353211"/>
                  <c:y val="-0.118855809061106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S-PSH'!$A$276:$A$300</c:f>
              <c:numCache>
                <c:formatCode>General</c:formatCode>
                <c:ptCount val="25"/>
                <c:pt idx="0">
                  <c:v>28.5</c:v>
                </c:pt>
                <c:pt idx="1">
                  <c:v>30</c:v>
                </c:pt>
                <c:pt idx="2">
                  <c:v>40</c:v>
                </c:pt>
                <c:pt idx="3">
                  <c:v>50</c:v>
                </c:pt>
                <c:pt idx="4">
                  <c:v>60</c:v>
                </c:pt>
                <c:pt idx="5">
                  <c:v>70</c:v>
                </c:pt>
                <c:pt idx="6">
                  <c:v>80</c:v>
                </c:pt>
                <c:pt idx="7">
                  <c:v>90</c:v>
                </c:pt>
                <c:pt idx="8">
                  <c:v>100</c:v>
                </c:pt>
                <c:pt idx="9">
                  <c:v>125</c:v>
                </c:pt>
                <c:pt idx="10">
                  <c:v>102</c:v>
                </c:pt>
                <c:pt idx="11">
                  <c:v>150</c:v>
                </c:pt>
                <c:pt idx="12">
                  <c:v>200</c:v>
                </c:pt>
                <c:pt idx="13">
                  <c:v>300</c:v>
                </c:pt>
                <c:pt idx="14">
                  <c:v>340</c:v>
                </c:pt>
                <c:pt idx="15">
                  <c:v>350</c:v>
                </c:pt>
                <c:pt idx="16">
                  <c:v>400</c:v>
                </c:pt>
                <c:pt idx="17">
                  <c:v>500</c:v>
                </c:pt>
                <c:pt idx="18">
                  <c:v>600</c:v>
                </c:pt>
                <c:pt idx="19">
                  <c:v>700</c:v>
                </c:pt>
                <c:pt idx="20">
                  <c:v>800</c:v>
                </c:pt>
                <c:pt idx="21">
                  <c:v>900</c:v>
                </c:pt>
                <c:pt idx="22">
                  <c:v>1000</c:v>
                </c:pt>
                <c:pt idx="23">
                  <c:v>2000</c:v>
                </c:pt>
                <c:pt idx="24">
                  <c:v>3000</c:v>
                </c:pt>
              </c:numCache>
            </c:numRef>
          </c:xVal>
          <c:yVal>
            <c:numRef>
              <c:f>'Cost Curves S-PSH'!$D$276:$D$300</c:f>
              <c:numCache>
                <c:formatCode>General</c:formatCode>
                <c:ptCount val="25"/>
                <c:pt idx="15">
                  <c:v>275</c:v>
                </c:pt>
                <c:pt idx="16">
                  <c:v>280</c:v>
                </c:pt>
                <c:pt idx="17">
                  <c:v>285</c:v>
                </c:pt>
                <c:pt idx="18">
                  <c:v>290</c:v>
                </c:pt>
                <c:pt idx="19">
                  <c:v>295</c:v>
                </c:pt>
                <c:pt idx="20">
                  <c:v>305</c:v>
                </c:pt>
                <c:pt idx="21">
                  <c:v>325</c:v>
                </c:pt>
                <c:pt idx="22">
                  <c:v>370</c:v>
                </c:pt>
              </c:numCache>
            </c:numRef>
          </c:yVal>
          <c:smooth val="0"/>
          <c:extLst>
            <c:ext xmlns:c16="http://schemas.microsoft.com/office/drawing/2014/chart" uri="{C3380CC4-5D6E-409C-BE32-E72D297353CC}">
              <c16:uniqueId val="{00000005-E1AC-C842-9519-FD696AEF0166}"/>
            </c:ext>
          </c:extLst>
        </c:ser>
        <c:ser>
          <c:idx val="3"/>
          <c:order val="3"/>
          <c:tx>
            <c:strRef>
              <c:f>'Cost Curves S-PSH'!$E$275</c:f>
              <c:strCache>
                <c:ptCount val="1"/>
                <c:pt idx="0">
                  <c:v>500 kV</c:v>
                </c:pt>
              </c:strCache>
            </c:strRef>
          </c:tx>
          <c:spPr>
            <a:ln w="19050" cap="rnd">
              <a:noFill/>
              <a:round/>
            </a:ln>
            <a:effectLst/>
          </c:spPr>
          <c:marker>
            <c:symbol val="circle"/>
            <c:size val="5"/>
            <c:spPr>
              <a:solidFill>
                <a:schemeClr val="accent4"/>
              </a:solidFill>
              <a:ln w="9525">
                <a:solidFill>
                  <a:schemeClr val="accent4"/>
                </a:solidFill>
              </a:ln>
              <a:effectLst/>
            </c:spPr>
          </c:marker>
          <c:trendline>
            <c:spPr>
              <a:ln w="19050" cap="rnd">
                <a:solidFill>
                  <a:schemeClr val="accent4"/>
                </a:solidFill>
                <a:prstDash val="sysDot"/>
              </a:ln>
              <a:effectLst/>
            </c:spPr>
            <c:trendlineType val="poly"/>
            <c:order val="2"/>
            <c:dispRSqr val="0"/>
            <c:dispEq val="1"/>
            <c:trendlineLbl>
              <c:layout>
                <c:manualLayout>
                  <c:x val="-0.32500059256518027"/>
                  <c:y val="-0.1626215675510334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S-PSH'!$A$276:$A$300</c:f>
              <c:numCache>
                <c:formatCode>General</c:formatCode>
                <c:ptCount val="25"/>
                <c:pt idx="0">
                  <c:v>28.5</c:v>
                </c:pt>
                <c:pt idx="1">
                  <c:v>30</c:v>
                </c:pt>
                <c:pt idx="2">
                  <c:v>40</c:v>
                </c:pt>
                <c:pt idx="3">
                  <c:v>50</c:v>
                </c:pt>
                <c:pt idx="4">
                  <c:v>60</c:v>
                </c:pt>
                <c:pt idx="5">
                  <c:v>70</c:v>
                </c:pt>
                <c:pt idx="6">
                  <c:v>80</c:v>
                </c:pt>
                <c:pt idx="7">
                  <c:v>90</c:v>
                </c:pt>
                <c:pt idx="8">
                  <c:v>100</c:v>
                </c:pt>
                <c:pt idx="9">
                  <c:v>125</c:v>
                </c:pt>
                <c:pt idx="10">
                  <c:v>102</c:v>
                </c:pt>
                <c:pt idx="11">
                  <c:v>150</c:v>
                </c:pt>
                <c:pt idx="12">
                  <c:v>200</c:v>
                </c:pt>
                <c:pt idx="13">
                  <c:v>300</c:v>
                </c:pt>
                <c:pt idx="14">
                  <c:v>340</c:v>
                </c:pt>
                <c:pt idx="15">
                  <c:v>350</c:v>
                </c:pt>
                <c:pt idx="16">
                  <c:v>400</c:v>
                </c:pt>
                <c:pt idx="17">
                  <c:v>500</c:v>
                </c:pt>
                <c:pt idx="18">
                  <c:v>600</c:v>
                </c:pt>
                <c:pt idx="19">
                  <c:v>700</c:v>
                </c:pt>
                <c:pt idx="20">
                  <c:v>800</c:v>
                </c:pt>
                <c:pt idx="21">
                  <c:v>900</c:v>
                </c:pt>
                <c:pt idx="22">
                  <c:v>1000</c:v>
                </c:pt>
                <c:pt idx="23">
                  <c:v>2000</c:v>
                </c:pt>
                <c:pt idx="24">
                  <c:v>3000</c:v>
                </c:pt>
              </c:numCache>
            </c:numRef>
          </c:xVal>
          <c:yVal>
            <c:numRef>
              <c:f>'Cost Curves S-PSH'!$E$276:$E$300</c:f>
              <c:numCache>
                <c:formatCode>General</c:formatCode>
                <c:ptCount val="25"/>
                <c:pt idx="21">
                  <c:v>400</c:v>
                </c:pt>
                <c:pt idx="22">
                  <c:v>402</c:v>
                </c:pt>
                <c:pt idx="23">
                  <c:v>450</c:v>
                </c:pt>
                <c:pt idx="24">
                  <c:v>575</c:v>
                </c:pt>
              </c:numCache>
            </c:numRef>
          </c:yVal>
          <c:smooth val="0"/>
          <c:extLst>
            <c:ext xmlns:c16="http://schemas.microsoft.com/office/drawing/2014/chart" uri="{C3380CC4-5D6E-409C-BE32-E72D297353CC}">
              <c16:uniqueId val="{00000007-E1AC-C842-9519-FD696AEF0166}"/>
            </c:ext>
          </c:extLst>
        </c:ser>
        <c:dLbls>
          <c:showLegendKey val="0"/>
          <c:showVal val="0"/>
          <c:showCatName val="0"/>
          <c:showSerName val="0"/>
          <c:showPercent val="0"/>
          <c:showBubbleSize val="0"/>
        </c:dLbls>
        <c:axId val="1915203247"/>
        <c:axId val="1967493135"/>
      </c:scatterChart>
      <c:valAx>
        <c:axId val="191520324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Transmission Capacity in MW</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7493135"/>
        <c:crosses val="autoZero"/>
        <c:crossBetween val="midCat"/>
      </c:valAx>
      <c:valAx>
        <c:axId val="196749313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$ 1000s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520324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S-PSH'!$B$362</c:f>
              <c:strCache>
                <c:ptCount val="1"/>
                <c:pt idx="0">
                  <c:v>stand by power k$</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13094641294838144"/>
                  <c:y val="7.7438757655293091E-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S-PSH'!$A$363:$A$369</c:f>
              <c:numCache>
                <c:formatCode>General</c:formatCode>
                <c:ptCount val="7"/>
                <c:pt idx="0">
                  <c:v>400</c:v>
                </c:pt>
                <c:pt idx="1">
                  <c:v>700</c:v>
                </c:pt>
                <c:pt idx="2">
                  <c:v>1000</c:v>
                </c:pt>
                <c:pt idx="3">
                  <c:v>5000</c:v>
                </c:pt>
                <c:pt idx="4">
                  <c:v>10000</c:v>
                </c:pt>
                <c:pt idx="5">
                  <c:v>15000</c:v>
                </c:pt>
                <c:pt idx="6">
                  <c:v>50000</c:v>
                </c:pt>
              </c:numCache>
            </c:numRef>
          </c:xVal>
          <c:yVal>
            <c:numRef>
              <c:f>'Cost Curves S-PSH'!$B$363:$B$369</c:f>
              <c:numCache>
                <c:formatCode>General</c:formatCode>
                <c:ptCount val="7"/>
                <c:pt idx="0">
                  <c:v>65</c:v>
                </c:pt>
                <c:pt idx="1">
                  <c:v>100</c:v>
                </c:pt>
                <c:pt idx="2">
                  <c:v>150</c:v>
                </c:pt>
                <c:pt idx="3">
                  <c:v>400</c:v>
                </c:pt>
                <c:pt idx="4">
                  <c:v>750</c:v>
                </c:pt>
                <c:pt idx="5">
                  <c:v>1000</c:v>
                </c:pt>
                <c:pt idx="6">
                  <c:v>2500</c:v>
                </c:pt>
              </c:numCache>
            </c:numRef>
          </c:yVal>
          <c:smooth val="0"/>
          <c:extLst>
            <c:ext xmlns:c16="http://schemas.microsoft.com/office/drawing/2014/chart" uri="{C3380CC4-5D6E-409C-BE32-E72D297353CC}">
              <c16:uniqueId val="{00000001-B198-874B-AFB6-0DC15F8F263B}"/>
            </c:ext>
          </c:extLst>
        </c:ser>
        <c:dLbls>
          <c:showLegendKey val="0"/>
          <c:showVal val="0"/>
          <c:showCatName val="0"/>
          <c:showSerName val="0"/>
          <c:showPercent val="0"/>
          <c:showBubbleSize val="0"/>
        </c:dLbls>
        <c:axId val="1177607296"/>
        <c:axId val="1643916096"/>
      </c:scatterChart>
      <c:valAx>
        <c:axId val="1177607296"/>
        <c:scaling>
          <c:logBase val="10"/>
          <c:orientation val="minMax"/>
          <c:min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Mean Pump DIscharge in gal/min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3916096"/>
        <c:crosses val="autoZero"/>
        <c:crossBetween val="midCat"/>
      </c:valAx>
      <c:valAx>
        <c:axId val="1643916096"/>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$ 1000s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60729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baseline="0">
                <a:solidFill>
                  <a:sysClr val="windowText" lastClr="000000">
                    <a:lumMod val="65000"/>
                    <a:lumOff val="35000"/>
                  </a:sysClr>
                </a:solidFill>
              </a:rPr>
              <a:t>Unit Cost, $/CY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S-PSH'!$E$86</c:f>
              <c:strCache>
                <c:ptCount val="1"/>
                <c:pt idx="0">
                  <c:v>Unit Cost $/CY</c:v>
                </c:pt>
              </c:strCache>
            </c:strRef>
          </c:tx>
          <c:spPr>
            <a:ln w="19050" cap="rnd">
              <a:noFill/>
              <a:round/>
            </a:ln>
            <a:effectLst/>
          </c:spPr>
          <c:marker>
            <c:symbol val="circle"/>
            <c:size val="5"/>
            <c:spPr>
              <a:solidFill>
                <a:schemeClr val="accent1"/>
              </a:solidFill>
              <a:ln w="9525">
                <a:solidFill>
                  <a:schemeClr val="accent1"/>
                </a:solidFill>
              </a:ln>
              <a:effectLst/>
            </c:spPr>
          </c:marker>
          <c:xVal>
            <c:numRef>
              <c:f>'Cost Curves S-PSH'!$D$87:$D$93</c:f>
              <c:numCache>
                <c:formatCode>General</c:formatCode>
                <c:ptCount val="7"/>
                <c:pt idx="0">
                  <c:v>0.114</c:v>
                </c:pt>
                <c:pt idx="1">
                  <c:v>1</c:v>
                </c:pt>
                <c:pt idx="2">
                  <c:v>2</c:v>
                </c:pt>
                <c:pt idx="3">
                  <c:v>4</c:v>
                </c:pt>
                <c:pt idx="4">
                  <c:v>6</c:v>
                </c:pt>
                <c:pt idx="5">
                  <c:v>8</c:v>
                </c:pt>
                <c:pt idx="6">
                  <c:v>10</c:v>
                </c:pt>
              </c:numCache>
            </c:numRef>
          </c:xVal>
          <c:yVal>
            <c:numRef>
              <c:f>'Cost Curves S-PSH'!$E$87:$E$93</c:f>
              <c:numCache>
                <c:formatCode>General</c:formatCode>
                <c:ptCount val="7"/>
                <c:pt idx="0">
                  <c:v>13.5</c:v>
                </c:pt>
                <c:pt idx="1">
                  <c:v>9</c:v>
                </c:pt>
                <c:pt idx="2">
                  <c:v>8</c:v>
                </c:pt>
                <c:pt idx="3">
                  <c:v>7.8</c:v>
                </c:pt>
                <c:pt idx="4">
                  <c:v>7.7</c:v>
                </c:pt>
                <c:pt idx="5">
                  <c:v>7.6</c:v>
                </c:pt>
                <c:pt idx="6">
                  <c:v>7.5</c:v>
                </c:pt>
              </c:numCache>
            </c:numRef>
          </c:yVal>
          <c:smooth val="0"/>
          <c:extLst>
            <c:ext xmlns:c16="http://schemas.microsoft.com/office/drawing/2014/chart" uri="{C3380CC4-5D6E-409C-BE32-E72D297353CC}">
              <c16:uniqueId val="{00000000-8821-E642-989B-526D62730D01}"/>
            </c:ext>
          </c:extLst>
        </c:ser>
        <c:ser>
          <c:idx val="1"/>
          <c:order val="1"/>
          <c:tx>
            <c:strRef>
              <c:f>'Cost Curves S-PSH'!$H$86</c:f>
              <c:strCache>
                <c:ptCount val="1"/>
                <c:pt idx="0">
                  <c:v>hyperbolic fit</c:v>
                </c:pt>
              </c:strCache>
            </c:strRef>
          </c:tx>
          <c:spPr>
            <a:ln w="15875" cap="rnd">
              <a:solidFill>
                <a:schemeClr val="accent1"/>
              </a:solidFill>
              <a:prstDash val="sysDot"/>
              <a:round/>
            </a:ln>
            <a:effectLst/>
          </c:spPr>
          <c:marker>
            <c:symbol val="none"/>
          </c:marker>
          <c:xVal>
            <c:numRef>
              <c:f>'Cost Curves S-PSH'!$D$87:$D$93</c:f>
              <c:numCache>
                <c:formatCode>General</c:formatCode>
                <c:ptCount val="7"/>
                <c:pt idx="0">
                  <c:v>0.114</c:v>
                </c:pt>
                <c:pt idx="1">
                  <c:v>1</c:v>
                </c:pt>
                <c:pt idx="2">
                  <c:v>2</c:v>
                </c:pt>
                <c:pt idx="3">
                  <c:v>4</c:v>
                </c:pt>
                <c:pt idx="4">
                  <c:v>6</c:v>
                </c:pt>
                <c:pt idx="5">
                  <c:v>8</c:v>
                </c:pt>
                <c:pt idx="6">
                  <c:v>10</c:v>
                </c:pt>
              </c:numCache>
            </c:numRef>
          </c:xVal>
          <c:yVal>
            <c:numRef>
              <c:f>'Cost Curves S-PSH'!$H$87:$H$93</c:f>
              <c:numCache>
                <c:formatCode>General</c:formatCode>
                <c:ptCount val="7"/>
                <c:pt idx="0">
                  <c:v>13.720565586723607</c:v>
                </c:pt>
                <c:pt idx="1">
                  <c:v>8.1565266080742109</c:v>
                </c:pt>
                <c:pt idx="2">
                  <c:v>7.9491405953633016</c:v>
                </c:pt>
                <c:pt idx="3">
                  <c:v>7.8493526569366407</c:v>
                </c:pt>
                <c:pt idx="4">
                  <c:v>7.8166444321108628</c:v>
                </c:pt>
                <c:pt idx="5">
                  <c:v>7.8003923284559873</c:v>
                </c:pt>
                <c:pt idx="6">
                  <c:v>7.7906734650387177</c:v>
                </c:pt>
              </c:numCache>
            </c:numRef>
          </c:yVal>
          <c:smooth val="0"/>
          <c:extLst>
            <c:ext xmlns:c16="http://schemas.microsoft.com/office/drawing/2014/chart" uri="{C3380CC4-5D6E-409C-BE32-E72D297353CC}">
              <c16:uniqueId val="{00000001-8821-E642-989B-526D62730D01}"/>
            </c:ext>
          </c:extLst>
        </c:ser>
        <c:dLbls>
          <c:showLegendKey val="0"/>
          <c:showVal val="0"/>
          <c:showCatName val="0"/>
          <c:showSerName val="0"/>
          <c:showPercent val="0"/>
          <c:showBubbleSize val="0"/>
        </c:dLbls>
        <c:axId val="1916112255"/>
        <c:axId val="1916460879"/>
      </c:scatterChart>
      <c:valAx>
        <c:axId val="191611225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Dam Volume, CY x 10^6</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6460879"/>
        <c:crosses val="autoZero"/>
        <c:crossBetween val="midCat"/>
      </c:valAx>
      <c:valAx>
        <c:axId val="1916460879"/>
        <c:scaling>
          <c:orientation val="minMax"/>
          <c:max val="15"/>
          <c:min val="6"/>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Unit Cost $/CY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611225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Penstock Velocity (Fps)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S-PSH'!$V$122</c:f>
              <c:strCache>
                <c:ptCount val="1"/>
                <c:pt idx="0">
                  <c:v>Velocity (Fps)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6.2340332458442694E-3"/>
                  <c:y val="0.1523611111111111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S-PSH'!$U$123:$U$127</c:f>
              <c:numCache>
                <c:formatCode>General</c:formatCode>
                <c:ptCount val="5"/>
                <c:pt idx="0">
                  <c:v>300</c:v>
                </c:pt>
                <c:pt idx="1">
                  <c:v>500</c:v>
                </c:pt>
                <c:pt idx="2">
                  <c:v>1000</c:v>
                </c:pt>
                <c:pt idx="3">
                  <c:v>1500</c:v>
                </c:pt>
                <c:pt idx="4">
                  <c:v>2200</c:v>
                </c:pt>
              </c:numCache>
            </c:numRef>
          </c:xVal>
          <c:yVal>
            <c:numRef>
              <c:f>'Cost Curves S-PSH'!$V$123:$V$127</c:f>
              <c:numCache>
                <c:formatCode>General</c:formatCode>
                <c:ptCount val="5"/>
                <c:pt idx="0">
                  <c:v>18</c:v>
                </c:pt>
                <c:pt idx="1">
                  <c:v>20</c:v>
                </c:pt>
                <c:pt idx="2">
                  <c:v>25</c:v>
                </c:pt>
                <c:pt idx="3">
                  <c:v>28</c:v>
                </c:pt>
                <c:pt idx="4">
                  <c:v>32</c:v>
                </c:pt>
              </c:numCache>
            </c:numRef>
          </c:yVal>
          <c:smooth val="0"/>
          <c:extLst>
            <c:ext xmlns:c16="http://schemas.microsoft.com/office/drawing/2014/chart" uri="{C3380CC4-5D6E-409C-BE32-E72D297353CC}">
              <c16:uniqueId val="{00000001-9ECB-1249-88CD-45E382E642B8}"/>
            </c:ext>
          </c:extLst>
        </c:ser>
        <c:dLbls>
          <c:showLegendKey val="0"/>
          <c:showVal val="0"/>
          <c:showCatName val="0"/>
          <c:showSerName val="0"/>
          <c:showPercent val="0"/>
          <c:showBubbleSize val="0"/>
        </c:dLbls>
        <c:axId val="519608111"/>
        <c:axId val="519609839"/>
      </c:scatterChart>
      <c:valAx>
        <c:axId val="51960811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609839"/>
        <c:crosses val="autoZero"/>
        <c:crossBetween val="midCat"/>
      </c:valAx>
      <c:valAx>
        <c:axId val="519609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60811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Draft Tube Velocity (Fps)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'Cost Curves S-PSH'!$Z$122</c:f>
              <c:strCache>
                <c:ptCount val="1"/>
                <c:pt idx="0">
                  <c:v>Velocity (Fps)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6.2685914260717413E-4"/>
                  <c:y val="0.1477314814814815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'Cost Curves S-PSH'!$Y$123:$Y$127</c:f>
              <c:numCache>
                <c:formatCode>General</c:formatCode>
                <c:ptCount val="5"/>
                <c:pt idx="0">
                  <c:v>300</c:v>
                </c:pt>
                <c:pt idx="1">
                  <c:v>500</c:v>
                </c:pt>
                <c:pt idx="2">
                  <c:v>1000</c:v>
                </c:pt>
                <c:pt idx="3">
                  <c:v>1500</c:v>
                </c:pt>
                <c:pt idx="4">
                  <c:v>2200</c:v>
                </c:pt>
              </c:numCache>
            </c:numRef>
          </c:xVal>
          <c:yVal>
            <c:numRef>
              <c:f>'Cost Curves S-PSH'!$Z$123:$Z$127</c:f>
              <c:numCache>
                <c:formatCode>General</c:formatCode>
                <c:ptCount val="5"/>
                <c:pt idx="0">
                  <c:v>8</c:v>
                </c:pt>
                <c:pt idx="1">
                  <c:v>10</c:v>
                </c:pt>
                <c:pt idx="2">
                  <c:v>13</c:v>
                </c:pt>
                <c:pt idx="3">
                  <c:v>15</c:v>
                </c:pt>
                <c:pt idx="4">
                  <c:v>17</c:v>
                </c:pt>
              </c:numCache>
            </c:numRef>
          </c:yVal>
          <c:smooth val="0"/>
          <c:extLst>
            <c:ext xmlns:c16="http://schemas.microsoft.com/office/drawing/2014/chart" uri="{C3380CC4-5D6E-409C-BE32-E72D297353CC}">
              <c16:uniqueId val="{00000001-8477-EF4C-A669-BE034EBD392E}"/>
            </c:ext>
          </c:extLst>
        </c:ser>
        <c:dLbls>
          <c:showLegendKey val="0"/>
          <c:showVal val="0"/>
          <c:showCatName val="0"/>
          <c:showSerName val="0"/>
          <c:showPercent val="0"/>
          <c:showBubbleSize val="0"/>
        </c:dLbls>
        <c:axId val="531582511"/>
        <c:axId val="1036989759"/>
      </c:scatterChart>
      <c:valAx>
        <c:axId val="53158251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6989759"/>
        <c:crosses val="autoZero"/>
        <c:crossBetween val="midCat"/>
      </c:valAx>
      <c:valAx>
        <c:axId val="1036989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58251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baseline="0">
                <a:solidFill>
                  <a:sysClr val="windowText" lastClr="000000"/>
                </a:solidFill>
                <a:latin typeface="Arial" panose="020B0604020202020204" pitchFamily="34" charset="0"/>
                <a:ea typeface="+mn-ea"/>
                <a:cs typeface="Arial" panose="020B0604020202020204" pitchFamily="34" charset="0"/>
              </a:defRPr>
            </a:pPr>
            <a:r>
              <a:rPr lang="en-US"/>
              <a:t>Simulated $/kWh vs Basecase $/kWh of 1,283 MW,18.5 hour PSH system</a:t>
            </a:r>
          </a:p>
        </c:rich>
      </c:tx>
      <c:layout>
        <c:manualLayout>
          <c:xMode val="edge"/>
          <c:yMode val="edge"/>
          <c:x val="0.23246171643775065"/>
          <c:y val="3.6103822095984277E-2"/>
        </c:manualLayout>
      </c:layout>
      <c:overlay val="0"/>
      <c:spPr>
        <a:noFill/>
        <a:ln>
          <a:noFill/>
        </a:ln>
        <a:effectLst/>
      </c:spPr>
      <c:txPr>
        <a:bodyPr rot="0" spcFirstLastPara="1" vertOverflow="ellipsis" vert="horz" wrap="square" anchor="ctr" anchorCtr="1"/>
        <a:lstStyle/>
        <a:p>
          <a:pPr>
            <a:defRPr sz="1680" b="0" i="0" u="none" strike="noStrike"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33125938171771713"/>
          <c:y val="0.15290274617509603"/>
          <c:w val="0.62333286813961686"/>
          <c:h val="0.81017911677315546"/>
        </c:manualLayout>
      </c:layout>
      <c:barChart>
        <c:barDir val="bar"/>
        <c:grouping val="clustered"/>
        <c:varyColors val="0"/>
        <c:ser>
          <c:idx val="0"/>
          <c:order val="0"/>
          <c:tx>
            <c:strRef>
              <c:f>'Sensitivity Analysis'!$C$72</c:f>
              <c:strCache>
                <c:ptCount val="1"/>
                <c:pt idx="0">
                  <c:v>Low $/kWh</c:v>
                </c:pt>
              </c:strCache>
            </c:strRef>
          </c:tx>
          <c:spPr>
            <a:solidFill>
              <a:schemeClr val="accent1"/>
            </a:solidFill>
            <a:ln>
              <a:noFill/>
            </a:ln>
            <a:effectLst/>
          </c:spPr>
          <c:invertIfNegative val="0"/>
          <c:dLbls>
            <c:dLbl>
              <c:idx val="0"/>
              <c:tx>
                <c:rich>
                  <a:bodyPr/>
                  <a:lstStyle/>
                  <a:p>
                    <a:fld id="{ADB19C1D-F101-4FB3-8D14-FFE1D4C088FD}" type="CELLRANGE">
                      <a:rPr lang="en-US"/>
                      <a:pPr/>
                      <a:t>[]</a:t>
                    </a:fld>
                    <a:r>
                      <a:rPr lang="en-US" baseline="0"/>
                      <a:t>, </a:t>
                    </a:r>
                    <a:fld id="{8C1D2130-9EA4-4788-A11B-90A4B5FC2BB9}"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46C8-B947-BB3D-6ED0ABD81DA2}"/>
                </c:ext>
              </c:extLst>
            </c:dLbl>
            <c:dLbl>
              <c:idx val="1"/>
              <c:tx>
                <c:rich>
                  <a:bodyPr/>
                  <a:lstStyle/>
                  <a:p>
                    <a:fld id="{5C2CA13E-6448-4301-850B-BD8BB048CF54}" type="CELLRANGE">
                      <a:rPr lang="en-US"/>
                      <a:pPr/>
                      <a:t>[]</a:t>
                    </a:fld>
                    <a:r>
                      <a:rPr lang="en-US" baseline="0"/>
                      <a:t>, </a:t>
                    </a:r>
                    <a:fld id="{987E533B-1A38-4FDD-BE13-498B302B3A0D}"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46C8-B947-BB3D-6ED0ABD81DA2}"/>
                </c:ext>
              </c:extLst>
            </c:dLbl>
            <c:dLbl>
              <c:idx val="2"/>
              <c:tx>
                <c:rich>
                  <a:bodyPr/>
                  <a:lstStyle/>
                  <a:p>
                    <a:fld id="{3DAAE890-5196-4BB5-AA3B-41FA8D3074A1}" type="CELLRANGE">
                      <a:rPr lang="en-US"/>
                      <a:pPr/>
                      <a:t>[]</a:t>
                    </a:fld>
                    <a:r>
                      <a:rPr lang="en-US" baseline="0"/>
                      <a:t>, </a:t>
                    </a:r>
                    <a:fld id="{A3A0247A-9972-4AE2-9FAB-021192F89003}"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46C8-B947-BB3D-6ED0ABD81DA2}"/>
                </c:ext>
              </c:extLst>
            </c:dLbl>
            <c:dLbl>
              <c:idx val="3"/>
              <c:tx>
                <c:rich>
                  <a:bodyPr/>
                  <a:lstStyle/>
                  <a:p>
                    <a:fld id="{DEEEF02E-F929-4876-A4DA-EA93F43BEA61}" type="CELLRANGE">
                      <a:rPr lang="en-US"/>
                      <a:pPr/>
                      <a:t>[]</a:t>
                    </a:fld>
                    <a:r>
                      <a:rPr lang="en-US" baseline="0"/>
                      <a:t>, </a:t>
                    </a:r>
                    <a:fld id="{A7946DF4-55D8-4947-99D0-B5265021184C}"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46C8-B947-BB3D-6ED0ABD81DA2}"/>
                </c:ext>
              </c:extLst>
            </c:dLbl>
            <c:dLbl>
              <c:idx val="4"/>
              <c:tx>
                <c:rich>
                  <a:bodyPr/>
                  <a:lstStyle/>
                  <a:p>
                    <a:fld id="{DAD7B211-89B7-4BA8-AF4B-BBFC8978F2F3}" type="CELLRANGE">
                      <a:rPr lang="en-US"/>
                      <a:pPr/>
                      <a:t>[]</a:t>
                    </a:fld>
                    <a:r>
                      <a:rPr lang="en-US" baseline="0"/>
                      <a:t>, </a:t>
                    </a:r>
                    <a:fld id="{4902D207-837A-4831-BDD9-08A4FDE54DE0}"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6C8-B947-BB3D-6ED0ABD81DA2}"/>
                </c:ext>
              </c:extLst>
            </c:dLbl>
            <c:dLbl>
              <c:idx val="5"/>
              <c:layout>
                <c:manualLayout>
                  <c:x val="9.8502037256089879E-3"/>
                  <c:y val="2.1377148886515744E-3"/>
                </c:manualLayout>
              </c:layout>
              <c:tx>
                <c:rich>
                  <a:bodyPr/>
                  <a:lstStyle/>
                  <a:p>
                    <a:fld id="{99E73A02-4F34-4588-A93E-0086EDF7267A}" type="CELLRANGE">
                      <a:rPr lang="en-US" baseline="0"/>
                      <a:pPr/>
                      <a:t>[]</a:t>
                    </a:fld>
                    <a:r>
                      <a:rPr lang="en-US" baseline="0"/>
                      <a:t>, </a:t>
                    </a:r>
                    <a:fld id="{3B57E035-C872-43F6-AEE8-A382305A245F}"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46C8-B947-BB3D-6ED0ABD81DA2}"/>
                </c:ext>
              </c:extLst>
            </c:dLbl>
            <c:dLbl>
              <c:idx val="6"/>
              <c:layout>
                <c:manualLayout>
                  <c:x val="4.9251503377394142E-3"/>
                  <c:y val="4.2752614665488263E-3"/>
                </c:manualLayout>
              </c:layout>
              <c:tx>
                <c:rich>
                  <a:bodyPr/>
                  <a:lstStyle/>
                  <a:p>
                    <a:fld id="{F70E75A0-A0AB-454D-AD29-F4ABABFFCD9B}" type="CELLRANGE">
                      <a:rPr lang="en-US" baseline="0"/>
                      <a:pPr/>
                      <a:t>[]</a:t>
                    </a:fld>
                    <a:r>
                      <a:rPr lang="en-US" baseline="0"/>
                      <a:t>, </a:t>
                    </a:r>
                    <a:fld id="{289F3D25-C81D-44B7-8809-24F238117B7F}"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46C8-B947-BB3D-6ED0ABD81DA2}"/>
                </c:ext>
              </c:extLst>
            </c:dLbl>
            <c:dLbl>
              <c:idx val="7"/>
              <c:layout>
                <c:manualLayout>
                  <c:x val="1.2313602968372786E-3"/>
                  <c:y val="2.1378831994057395E-3"/>
                </c:manualLayout>
              </c:layout>
              <c:tx>
                <c:rich>
                  <a:bodyPr/>
                  <a:lstStyle/>
                  <a:p>
                    <a:fld id="{82058AF8-B4C3-43A0-ADDF-A02B68AFC307}" type="CELLRANGE">
                      <a:rPr lang="en-US" baseline="0"/>
                      <a:pPr/>
                      <a:t>[]</a:t>
                    </a:fld>
                    <a:r>
                      <a:rPr lang="en-US" baseline="0"/>
                      <a:t>, </a:t>
                    </a:r>
                    <a:fld id="{55A08697-2FCC-427A-90C2-2EC5EC2E1A91}"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46C8-B947-BB3D-6ED0ABD81DA2}"/>
                </c:ext>
              </c:extLst>
            </c:dLbl>
            <c:dLbl>
              <c:idx val="8"/>
              <c:tx>
                <c:rich>
                  <a:bodyPr/>
                  <a:lstStyle/>
                  <a:p>
                    <a:fld id="{26D6B638-0E85-4591-881E-9253EDC84230}" type="CELLRANGE">
                      <a:rPr lang="en-US"/>
                      <a:pPr/>
                      <a:t>[]</a:t>
                    </a:fld>
                    <a:r>
                      <a:rPr lang="en-US" baseline="0"/>
                      <a:t>, </a:t>
                    </a:r>
                    <a:fld id="{EC8F0C09-DE77-4CF8-A535-D56B12CEF62D}"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6C8-B947-BB3D-6ED0ABD81DA2}"/>
                </c:ext>
              </c:extLst>
            </c:dLbl>
            <c:dLbl>
              <c:idx val="9"/>
              <c:layout>
                <c:manualLayout>
                  <c:x val="9.9737354503080349E-3"/>
                  <c:y val="-1.8666340125766266E-3"/>
                </c:manualLayout>
              </c:layout>
              <c:tx>
                <c:rich>
                  <a:bodyPr/>
                  <a:lstStyle/>
                  <a:p>
                    <a:fld id="{8CE9C252-494A-422A-A69E-0AAF5DB543CE}" type="CELLRANGE">
                      <a:rPr lang="en-US" baseline="0"/>
                      <a:pPr/>
                      <a:t>[]</a:t>
                    </a:fld>
                    <a:r>
                      <a:rPr lang="en-US" baseline="0"/>
                      <a:t>, </a:t>
                    </a:r>
                    <a:fld id="{967F0C51-C245-4D44-9DC3-C29DEBAF32D7}"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46C8-B947-BB3D-6ED0ABD81DA2}"/>
                </c:ext>
              </c:extLst>
            </c:dLbl>
            <c:dLbl>
              <c:idx val="10"/>
              <c:layout>
                <c:manualLayout>
                  <c:x val="3.6938869907720655E-3"/>
                  <c:y val="1.6831075416514415E-7"/>
                </c:manualLayout>
              </c:layout>
              <c:tx>
                <c:rich>
                  <a:bodyPr/>
                  <a:lstStyle/>
                  <a:p>
                    <a:fld id="{ED244BA9-966B-4C4B-9052-AEBC59D3DE08}" type="CELLRANGE">
                      <a:rPr lang="en-US" baseline="0"/>
                      <a:pPr/>
                      <a:t>[]</a:t>
                    </a:fld>
                    <a:r>
                      <a:rPr lang="en-US" baseline="0"/>
                      <a:t>, </a:t>
                    </a:r>
                    <a:fld id="{7352C9DB-9E91-4A5C-AE43-39374799A143}"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46C8-B947-BB3D-6ED0ABD81DA2}"/>
                </c:ext>
              </c:extLst>
            </c:dLbl>
            <c:dLbl>
              <c:idx val="11"/>
              <c:layout>
                <c:manualLayout>
                  <c:x val="2.4626236438047172E-3"/>
                  <c:y val="2.1377148886516525E-3"/>
                </c:manualLayout>
              </c:layout>
              <c:tx>
                <c:rich>
                  <a:bodyPr/>
                  <a:lstStyle/>
                  <a:p>
                    <a:fld id="{9FAA0747-6508-4EBF-A5AE-FAA41FD48E87}" type="CELLRANGE">
                      <a:rPr lang="en-US" baseline="0"/>
                      <a:pPr/>
                      <a:t>[]</a:t>
                    </a:fld>
                    <a:r>
                      <a:rPr lang="en-US" baseline="0"/>
                      <a:t>, </a:t>
                    </a:r>
                    <a:fld id="{82A17084-155F-4ED3-8A06-0E2D50D48D3B}"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46C8-B947-BB3D-6ED0ABD81DA2}"/>
                </c:ext>
              </c:extLst>
            </c:dLbl>
            <c:dLbl>
              <c:idx val="12"/>
              <c:layout>
                <c:manualLayout>
                  <c:x val="8.7315271345090855E-3"/>
                  <c:y val="5.8800882438533197E-7"/>
                </c:manualLayout>
              </c:layout>
              <c:tx>
                <c:rich>
                  <a:bodyPr/>
                  <a:lstStyle/>
                  <a:p>
                    <a:fld id="{CEAF92C5-2D5E-4B29-BD8C-27E347280770}" type="CELLRANGE">
                      <a:rPr lang="en-US" baseline="0"/>
                      <a:pPr/>
                      <a:t>[]</a:t>
                    </a:fld>
                    <a:r>
                      <a:rPr lang="en-US" baseline="0"/>
                      <a:t>, </a:t>
                    </a:r>
                    <a:fld id="{22820F27-75B2-45D8-A29A-31F7B6448A2E}"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46C8-B947-BB3D-6ED0ABD81DA2}"/>
                </c:ext>
              </c:extLst>
            </c:dLbl>
            <c:numFmt formatCode="&quot;$&quot;#,##0" sourceLinked="0"/>
            <c:spPr>
              <a:noFill/>
              <a:ln>
                <a:noFill/>
              </a:ln>
              <a:effectLst/>
            </c:spPr>
            <c:txPr>
              <a:bodyPr rot="0" spcFirstLastPara="1" vertOverflow="ellipsis" vert="horz" wrap="square" anchor="ctr" anchorCtr="1"/>
              <a:lstStyle/>
              <a:p>
                <a:pPr>
                  <a:defRPr sz="1400" b="0" i="0" u="none" strike="noStrike"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'Sensitivity Analysis'!$B$73:$B$85</c:f>
              <c:strCache>
                <c:ptCount val="13"/>
                <c:pt idx="0">
                  <c:v>Nominal Head (Ft)</c:v>
                </c:pt>
                <c:pt idx="1">
                  <c:v>Duration (Hrs)</c:v>
                </c:pt>
                <c:pt idx="2">
                  <c:v>Conveyance Length (Ft)</c:v>
                </c:pt>
                <c:pt idx="3">
                  <c:v>Average Dam Height (ft)</c:v>
                </c:pt>
                <c:pt idx="4">
                  <c:v>Power Station Type</c:v>
                </c:pt>
                <c:pt idx="5">
                  <c:v>Transmission Miles</c:v>
                </c:pt>
                <c:pt idx="6">
                  <c:v>Power Station Structure Geology Type</c:v>
                </c:pt>
                <c:pt idx="7">
                  <c:v>Access Tunnel Length (Miles)</c:v>
                </c:pt>
                <c:pt idx="8">
                  <c:v>Average Crest Length (Ft)</c:v>
                </c:pt>
                <c:pt idx="9">
                  <c:v>U. Reservoir Intake/Outlet Type</c:v>
                </c:pt>
                <c:pt idx="10">
                  <c:v>Tranmission Type</c:v>
                </c:pt>
                <c:pt idx="11">
                  <c:v>L. Reservoir Intake/Outlet Type</c:v>
                </c:pt>
                <c:pt idx="12">
                  <c:v>Penstock Type</c:v>
                </c:pt>
              </c:strCache>
            </c:strRef>
          </c:cat>
          <c:val>
            <c:numRef>
              <c:f>'Sensitivity Analysis'!$C$73:$C$85</c:f>
              <c:numCache>
                <c:formatCode>_("$"* #,##0.00_);_("$"* \(#,##0.00\);_("$"* "-"??_);_(@_)</c:formatCode>
                <c:ptCount val="13"/>
                <c:pt idx="0">
                  <c:v>73.178899999999999</c:v>
                </c:pt>
                <c:pt idx="1">
                  <c:v>82.341200000000001</c:v>
                </c:pt>
                <c:pt idx="2">
                  <c:v>80.328900000000004</c:v>
                </c:pt>
                <c:pt idx="3">
                  <c:v>96.336699999999993</c:v>
                </c:pt>
                <c:pt idx="4">
                  <c:v>90.091899999999995</c:v>
                </c:pt>
                <c:pt idx="5">
                  <c:v>97.113399999999999</c:v>
                </c:pt>
                <c:pt idx="6">
                  <c:v>96.704099999999997</c:v>
                </c:pt>
                <c:pt idx="7">
                  <c:v>98.087900000000005</c:v>
                </c:pt>
                <c:pt idx="8">
                  <c:v>97.246300000000005</c:v>
                </c:pt>
                <c:pt idx="9">
                  <c:v>99.419499999999999</c:v>
                </c:pt>
                <c:pt idx="10">
                  <c:v>98.045299999999997</c:v>
                </c:pt>
                <c:pt idx="11">
                  <c:v>98.171899999999994</c:v>
                </c:pt>
                <c:pt idx="12">
                  <c:v>99.419499999999999</c:v>
                </c:pt>
              </c:numCache>
            </c:numRef>
          </c:val>
          <c:extLst>
            <c:ext xmlns:c15="http://schemas.microsoft.com/office/drawing/2012/chart" uri="{02D57815-91ED-43cb-92C2-25804820EDAC}">
              <c15:datalabelsRange>
                <c15:f>'Sensitivity Analysis'!$F$73:$F$85</c15:f>
                <c15:dlblRangeCache>
                  <c:ptCount val="13"/>
                  <c:pt idx="0">
                    <c:v>2500 ft</c:v>
                  </c:pt>
                  <c:pt idx="1">
                    <c:v>24 hours</c:v>
                  </c:pt>
                  <c:pt idx="2">
                    <c:v>5000 ft</c:v>
                  </c:pt>
                  <c:pt idx="3">
                    <c:v>60 ft</c:v>
                  </c:pt>
                  <c:pt idx="4">
                    <c:v>Surface</c:v>
                  </c:pt>
                  <c:pt idx="5">
                    <c:v>5 miles</c:v>
                  </c:pt>
                  <c:pt idx="6">
                    <c:v>Average</c:v>
                  </c:pt>
                  <c:pt idx="7">
                    <c:v>0.75 miles</c:v>
                  </c:pt>
                  <c:pt idx="8">
                    <c:v>800 ft</c:v>
                  </c:pt>
                  <c:pt idx="9">
                    <c:v>Vertical</c:v>
                  </c:pt>
                  <c:pt idx="10">
                    <c:v>Single</c:v>
                  </c:pt>
                  <c:pt idx="11">
                    <c:v>Vertical</c:v>
                  </c:pt>
                  <c:pt idx="12">
                    <c:v>Underground</c:v>
                  </c:pt>
                </c15:dlblRangeCache>
              </c15:datalabelsRange>
            </c:ext>
            <c:ext xmlns:c16="http://schemas.microsoft.com/office/drawing/2014/chart" uri="{C3380CC4-5D6E-409C-BE32-E72D297353CC}">
              <c16:uniqueId val="{0000000D-46C8-B947-BB3D-6ED0ABD81DA2}"/>
            </c:ext>
          </c:extLst>
        </c:ser>
        <c:ser>
          <c:idx val="1"/>
          <c:order val="1"/>
          <c:tx>
            <c:strRef>
              <c:f>'Sensitivity Analysis'!$D$72</c:f>
              <c:strCache>
                <c:ptCount val="1"/>
                <c:pt idx="0">
                  <c:v> High $/kWh</c:v>
                </c:pt>
              </c:strCache>
            </c:strRef>
          </c:tx>
          <c:spPr>
            <a:solidFill>
              <a:schemeClr val="accent2"/>
            </a:solidFill>
            <a:ln>
              <a:noFill/>
            </a:ln>
            <a:effectLst/>
          </c:spPr>
          <c:invertIfNegative val="0"/>
          <c:dLbls>
            <c:dLbl>
              <c:idx val="0"/>
              <c:tx>
                <c:rich>
                  <a:bodyPr/>
                  <a:lstStyle/>
                  <a:p>
                    <a:fld id="{787E02EC-0653-411B-8390-C160DC19DB8C}" type="CELLRANGE">
                      <a:rPr lang="en-US"/>
                      <a:pPr/>
                      <a:t>[]</a:t>
                    </a:fld>
                    <a:r>
                      <a:rPr lang="en-US" baseline="0"/>
                      <a:t>, </a:t>
                    </a:r>
                    <a:fld id="{D13E5629-4520-4324-AD6A-ACAA2246ABC1}"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6C8-B947-BB3D-6ED0ABD81DA2}"/>
                </c:ext>
              </c:extLst>
            </c:dLbl>
            <c:dLbl>
              <c:idx val="1"/>
              <c:tx>
                <c:rich>
                  <a:bodyPr/>
                  <a:lstStyle/>
                  <a:p>
                    <a:fld id="{5BE2B946-34C1-490B-842A-60B2A7068955}" type="CELLRANGE">
                      <a:rPr lang="en-US"/>
                      <a:pPr/>
                      <a:t>[]</a:t>
                    </a:fld>
                    <a:r>
                      <a:rPr lang="en-US" baseline="0"/>
                      <a:t>, </a:t>
                    </a:r>
                    <a:fld id="{079F7E4D-F372-40DB-9C0C-31147A5C9DA1}"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6C8-B947-BB3D-6ED0ABD81DA2}"/>
                </c:ext>
              </c:extLst>
            </c:dLbl>
            <c:dLbl>
              <c:idx val="2"/>
              <c:tx>
                <c:rich>
                  <a:bodyPr/>
                  <a:lstStyle/>
                  <a:p>
                    <a:fld id="{B22D9809-36F5-45C8-AFF3-76EDBA898D5E}" type="CELLRANGE">
                      <a:rPr lang="en-US"/>
                      <a:pPr/>
                      <a:t>[]</a:t>
                    </a:fld>
                    <a:r>
                      <a:rPr lang="en-US" baseline="0"/>
                      <a:t>, </a:t>
                    </a:r>
                    <a:fld id="{390237B1-97FC-413C-A1F0-21C29B394DE4}"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46C8-B947-BB3D-6ED0ABD81DA2}"/>
                </c:ext>
              </c:extLst>
            </c:dLbl>
            <c:dLbl>
              <c:idx val="3"/>
              <c:tx>
                <c:rich>
                  <a:bodyPr/>
                  <a:lstStyle/>
                  <a:p>
                    <a:fld id="{8D44BD53-1C7F-46EA-A3B3-6F10995C49AA}" type="CELLRANGE">
                      <a:rPr lang="en-US"/>
                      <a:pPr/>
                      <a:t>[]</a:t>
                    </a:fld>
                    <a:r>
                      <a:rPr lang="en-US" baseline="0"/>
                      <a:t>, </a:t>
                    </a:r>
                    <a:fld id="{F4DC090F-A18B-42F9-9A72-AAA4712D9D1E}"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46C8-B947-BB3D-6ED0ABD81DA2}"/>
                </c:ext>
              </c:extLst>
            </c:dLbl>
            <c:dLbl>
              <c:idx val="4"/>
              <c:layout>
                <c:manualLayout>
                  <c:x val="-0.11352863299659732"/>
                  <c:y val="1.8673690236069372E-3"/>
                </c:manualLayout>
              </c:layout>
              <c:tx>
                <c:rich>
                  <a:bodyPr/>
                  <a:lstStyle/>
                  <a:p>
                    <a:fld id="{1A239181-E3DE-4A41-BD92-ABF2C0706132}" type="CELLRANGE">
                      <a:rPr lang="en-US" baseline="0"/>
                      <a:pPr/>
                      <a:t>[]</a:t>
                    </a:fld>
                    <a:r>
                      <a:rPr lang="en-US" baseline="0"/>
                      <a:t>, </a:t>
                    </a:r>
                    <a:fld id="{425CB986-3246-4C70-BC2C-9A9FACDA7BD9}"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46C8-B947-BB3D-6ED0ABD81DA2}"/>
                </c:ext>
              </c:extLst>
            </c:dLbl>
            <c:dLbl>
              <c:idx val="5"/>
              <c:layout>
                <c:manualLayout>
                  <c:x val="2.4625266939346966E-3"/>
                  <c:y val="1.6831075416514415E-7"/>
                </c:manualLayout>
              </c:layout>
              <c:tx>
                <c:rich>
                  <a:bodyPr/>
                  <a:lstStyle/>
                  <a:p>
                    <a:fld id="{00132E50-5958-4700-A21D-D2AAA9BC3FE6}" type="CELLRANGE">
                      <a:rPr lang="en-US" baseline="0"/>
                      <a:pPr/>
                      <a:t>[]</a:t>
                    </a:fld>
                    <a:r>
                      <a:rPr lang="en-US" baseline="0"/>
                      <a:t>, </a:t>
                    </a:r>
                    <a:fld id="{9F4D406A-49CA-4E38-AC90-B0218DFE3C72}"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46C8-B947-BB3D-6ED0ABD81DA2}"/>
                </c:ext>
              </c:extLst>
            </c:dLbl>
            <c:dLbl>
              <c:idx val="6"/>
              <c:layout>
                <c:manualLayout>
                  <c:x val="-8.7576703244758983E-2"/>
                  <c:y val="1.8679570324311172E-3"/>
                </c:manualLayout>
              </c:layout>
              <c:tx>
                <c:rich>
                  <a:bodyPr/>
                  <a:lstStyle/>
                  <a:p>
                    <a:fld id="{7A513E63-134B-44B5-9322-9D48C9662468}" type="CELLRANGE">
                      <a:rPr lang="en-US" baseline="0"/>
                      <a:pPr/>
                      <a:t>[]</a:t>
                    </a:fld>
                    <a:r>
                      <a:rPr lang="en-US" baseline="0"/>
                      <a:t>, </a:t>
                    </a:r>
                    <a:fld id="{131C040A-5CC7-4DC3-B794-F59E3624D587}"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46C8-B947-BB3D-6ED0ABD81DA2}"/>
                </c:ext>
              </c:extLst>
            </c:dLbl>
            <c:dLbl>
              <c:idx val="7"/>
              <c:layout>
                <c:manualLayout>
                  <c:x val="4.9250533878694835E-3"/>
                  <c:y val="6.7324301658220084E-7"/>
                </c:manualLayout>
              </c:layout>
              <c:tx>
                <c:rich>
                  <a:bodyPr/>
                  <a:lstStyle/>
                  <a:p>
                    <a:fld id="{1BFEC06D-75C6-4931-9179-FAA33E85AE9F}" type="CELLRANGE">
                      <a:rPr lang="en-US" baseline="0"/>
                      <a:pPr/>
                      <a:t>[]</a:t>
                    </a:fld>
                    <a:r>
                      <a:rPr lang="en-US" baseline="0"/>
                      <a:t>, </a:t>
                    </a:r>
                    <a:fld id="{EA9E582D-C7A6-4F06-85B5-A16BD686CA32}"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46C8-B947-BB3D-6ED0ABD81DA2}"/>
                </c:ext>
              </c:extLst>
            </c:dLbl>
            <c:dLbl>
              <c:idx val="8"/>
              <c:layout>
                <c:manualLayout>
                  <c:x val="-8.1799166740058729E-2"/>
                  <c:y val="1.3690647302391601E-16"/>
                </c:manualLayout>
              </c:layout>
              <c:tx>
                <c:rich>
                  <a:bodyPr/>
                  <a:lstStyle/>
                  <a:p>
                    <a:fld id="{DD6D925E-6661-4442-8AB2-D22C7FA8CC3D}" type="CELLRANGE">
                      <a:rPr lang="en-US" baseline="0"/>
                      <a:pPr/>
                      <a:t>[]</a:t>
                    </a:fld>
                    <a:r>
                      <a:rPr lang="en-US" baseline="0"/>
                      <a:t>, </a:t>
                    </a:r>
                    <a:fld id="{B772DF73-E06D-4097-8B40-A8B48767DFA2}"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46C8-B947-BB3D-6ED0ABD81DA2}"/>
                </c:ext>
              </c:extLst>
            </c:dLbl>
            <c:dLbl>
              <c:idx val="9"/>
              <c:layout>
                <c:manualLayout>
                  <c:x val="8.3692107258402492E-3"/>
                  <c:y val="-2.1369710695248404E-3"/>
                </c:manualLayout>
              </c:layout>
              <c:tx>
                <c:rich>
                  <a:bodyPr/>
                  <a:lstStyle/>
                  <a:p>
                    <a:fld id="{D5F5FA46-E178-4C3C-A318-F893E00E63B2}" type="CELLRANGE">
                      <a:rPr lang="en-US" baseline="0"/>
                      <a:pPr/>
                      <a:t>[]</a:t>
                    </a:fld>
                    <a:r>
                      <a:rPr lang="en-US" baseline="0"/>
                      <a:t>, </a:t>
                    </a:r>
                    <a:fld id="{A06DDC95-CFF5-49DC-98CB-077E69D8F143}"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46C8-B947-BB3D-6ED0ABD81DA2}"/>
                </c:ext>
              </c:extLst>
            </c:dLbl>
            <c:dLbl>
              <c:idx val="10"/>
              <c:layout>
                <c:manualLayout>
                  <c:x val="-7.9827376299693165E-2"/>
                  <c:y val="1.8675160258129994E-3"/>
                </c:manualLayout>
              </c:layout>
              <c:tx>
                <c:rich>
                  <a:bodyPr/>
                  <a:lstStyle/>
                  <a:p>
                    <a:fld id="{20BD2630-4431-4CCD-8CDD-0D518CE62E25}" type="CELLRANGE">
                      <a:rPr lang="en-US" baseline="0"/>
                      <a:pPr/>
                      <a:t>[]</a:t>
                    </a:fld>
                    <a:r>
                      <a:rPr lang="en-US" baseline="0"/>
                      <a:t>, </a:t>
                    </a:r>
                    <a:fld id="{4C9C7A5B-E59B-4D53-9ED6-4EC7855E4CA1}"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46C8-B947-BB3D-6ED0ABD81DA2}"/>
                </c:ext>
              </c:extLst>
            </c:dLbl>
            <c:dLbl>
              <c:idx val="11"/>
              <c:layout>
                <c:manualLayout>
                  <c:x val="-9.6307823586893118E-2"/>
                  <c:y val="8.820132363726382E-7"/>
                </c:manualLayout>
              </c:layout>
              <c:tx>
                <c:rich>
                  <a:bodyPr/>
                  <a:lstStyle/>
                  <a:p>
                    <a:fld id="{A999DD81-3A98-479B-A27E-A3675DBD9A53}" type="CELLRANGE">
                      <a:rPr lang="en-US" baseline="0"/>
                      <a:pPr/>
                      <a:t>[]</a:t>
                    </a:fld>
                    <a:r>
                      <a:rPr lang="en-US" baseline="0"/>
                      <a:t>, </a:t>
                    </a:r>
                    <a:fld id="{CC1BE36F-C14E-40E7-9CC7-8EF38FAE6D46}"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46C8-B947-BB3D-6ED0ABD81DA2}"/>
                </c:ext>
              </c:extLst>
            </c:dLbl>
            <c:dLbl>
              <c:idx val="12"/>
              <c:layout>
                <c:manualLayout>
                  <c:x val="6.1563280045565539E-3"/>
                  <c:y val="1.326841911916572E-3"/>
                </c:manualLayout>
              </c:layout>
              <c:tx>
                <c:rich>
                  <a:bodyPr/>
                  <a:lstStyle/>
                  <a:p>
                    <a:fld id="{7CB5CA68-F563-4B7D-88B5-9532B07FA9FB}" type="CELLRANGE">
                      <a:rPr lang="en-US" baseline="0"/>
                      <a:pPr/>
                      <a:t>[]</a:t>
                    </a:fld>
                    <a:r>
                      <a:rPr lang="en-US" baseline="0"/>
                      <a:t>, </a:t>
                    </a:r>
                    <a:fld id="{000B61C8-5138-459B-AC50-C8DC18B9EF15}"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46C8-B947-BB3D-6ED0ABD81DA2}"/>
                </c:ext>
              </c:extLst>
            </c:dLbl>
            <c:numFmt formatCode="&quot;$&quot;#,##0" sourceLinked="0"/>
            <c:spPr>
              <a:noFill/>
              <a:ln>
                <a:noFill/>
              </a:ln>
              <a:effectLst/>
            </c:spPr>
            <c:txPr>
              <a:bodyPr rot="0" spcFirstLastPara="1" vertOverflow="ellipsis" vert="horz" wrap="square" anchor="ctr" anchorCtr="1"/>
              <a:lstStyle/>
              <a:p>
                <a:pPr>
                  <a:defRPr sz="1400" b="0" i="0" u="none" strike="noStrike"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'Sensitivity Analysis'!$B$73:$B$85</c:f>
              <c:strCache>
                <c:ptCount val="13"/>
                <c:pt idx="0">
                  <c:v>Nominal Head (Ft)</c:v>
                </c:pt>
                <c:pt idx="1">
                  <c:v>Duration (Hrs)</c:v>
                </c:pt>
                <c:pt idx="2">
                  <c:v>Conveyance Length (Ft)</c:v>
                </c:pt>
                <c:pt idx="3">
                  <c:v>Average Dam Height (ft)</c:v>
                </c:pt>
                <c:pt idx="4">
                  <c:v>Power Station Type</c:v>
                </c:pt>
                <c:pt idx="5">
                  <c:v>Transmission Miles</c:v>
                </c:pt>
                <c:pt idx="6">
                  <c:v>Power Station Structure Geology Type</c:v>
                </c:pt>
                <c:pt idx="7">
                  <c:v>Access Tunnel Length (Miles)</c:v>
                </c:pt>
                <c:pt idx="8">
                  <c:v>Average Crest Length (Ft)</c:v>
                </c:pt>
                <c:pt idx="9">
                  <c:v>U. Reservoir Intake/Outlet Type</c:v>
                </c:pt>
                <c:pt idx="10">
                  <c:v>Tranmission Type</c:v>
                </c:pt>
                <c:pt idx="11">
                  <c:v>L. Reservoir Intake/Outlet Type</c:v>
                </c:pt>
                <c:pt idx="12">
                  <c:v>Penstock Type</c:v>
                </c:pt>
              </c:strCache>
            </c:strRef>
          </c:cat>
          <c:val>
            <c:numRef>
              <c:f>'Sensitivity Analysis'!$D$73:$D$85</c:f>
              <c:numCache>
                <c:formatCode>_("$"* #,##0.00_);_("$"* \(#,##0.00\);_("$"* "-"??_);_(@_)</c:formatCode>
                <c:ptCount val="13"/>
                <c:pt idx="0">
                  <c:v>157.68450000000001</c:v>
                </c:pt>
                <c:pt idx="1">
                  <c:v>160.53290000000001</c:v>
                </c:pt>
                <c:pt idx="2">
                  <c:v>121.1172</c:v>
                </c:pt>
                <c:pt idx="3">
                  <c:v>122.6078</c:v>
                </c:pt>
                <c:pt idx="4">
                  <c:v>99.419499999999999</c:v>
                </c:pt>
                <c:pt idx="5">
                  <c:v>102.5395</c:v>
                </c:pt>
                <c:pt idx="6">
                  <c:v>99.419499999999999</c:v>
                </c:pt>
                <c:pt idx="7">
                  <c:v>100.8171</c:v>
                </c:pt>
                <c:pt idx="8">
                  <c:v>99.419499999999999</c:v>
                </c:pt>
                <c:pt idx="9">
                  <c:v>101.33880000000001</c:v>
                </c:pt>
                <c:pt idx="10">
                  <c:v>99.419499999999999</c:v>
                </c:pt>
                <c:pt idx="11">
                  <c:v>99.419499999999999</c:v>
                </c:pt>
                <c:pt idx="12">
                  <c:v>100.6477</c:v>
                </c:pt>
              </c:numCache>
            </c:numRef>
          </c:val>
          <c:extLst>
            <c:ext xmlns:c15="http://schemas.microsoft.com/office/drawing/2012/chart" uri="{02D57815-91ED-43cb-92C2-25804820EDAC}">
              <c15:datalabelsRange>
                <c15:f>'Sensitivity Analysis'!$G$73:$G$85</c15:f>
                <c15:dlblRangeCache>
                  <c:ptCount val="13"/>
                  <c:pt idx="0">
                    <c:v>800 ft</c:v>
                  </c:pt>
                  <c:pt idx="1">
                    <c:v>10 hours</c:v>
                  </c:pt>
                  <c:pt idx="2">
                    <c:v>25000 ft</c:v>
                  </c:pt>
                  <c:pt idx="3">
                    <c:v>240 ft</c:v>
                  </c:pt>
                  <c:pt idx="4">
                    <c:v>Underground</c:v>
                  </c:pt>
                  <c:pt idx="5">
                    <c:v>25 miles</c:v>
                  </c:pt>
                  <c:pt idx="6">
                    <c:v>Adverse</c:v>
                  </c:pt>
                  <c:pt idx="7">
                    <c:v>1.75 miles</c:v>
                  </c:pt>
                  <c:pt idx="8">
                    <c:v>1800 ft</c:v>
                  </c:pt>
                  <c:pt idx="9">
                    <c:v>Horizontal</c:v>
                  </c:pt>
                  <c:pt idx="10">
                    <c:v>Double</c:v>
                  </c:pt>
                  <c:pt idx="11">
                    <c:v>Horizontal</c:v>
                  </c:pt>
                  <c:pt idx="12">
                    <c:v>Surface</c:v>
                  </c:pt>
                </c15:dlblRangeCache>
              </c15:datalabelsRange>
            </c:ext>
            <c:ext xmlns:c16="http://schemas.microsoft.com/office/drawing/2014/chart" uri="{C3380CC4-5D6E-409C-BE32-E72D297353CC}">
              <c16:uniqueId val="{0000001B-46C8-B947-BB3D-6ED0ABD81DA2}"/>
            </c:ext>
          </c:extLst>
        </c:ser>
        <c:dLbls>
          <c:showLegendKey val="0"/>
          <c:showVal val="1"/>
          <c:showCatName val="0"/>
          <c:showSerName val="0"/>
          <c:showPercent val="0"/>
          <c:showBubbleSize val="0"/>
        </c:dLbls>
        <c:gapWidth val="6"/>
        <c:overlap val="100"/>
        <c:axId val="635745680"/>
        <c:axId val="635746008"/>
      </c:barChart>
      <c:catAx>
        <c:axId val="635745680"/>
        <c:scaling>
          <c:orientation val="maxMin"/>
        </c:scaling>
        <c:delete val="0"/>
        <c:axPos val="l"/>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635746008"/>
        <c:crossesAt val="99.48"/>
        <c:auto val="1"/>
        <c:lblAlgn val="ctr"/>
        <c:lblOffset val="100"/>
        <c:noMultiLvlLbl val="0"/>
      </c:catAx>
      <c:valAx>
        <c:axId val="635746008"/>
        <c:scaling>
          <c:orientation val="minMax"/>
          <c:max val="250"/>
          <c:min val="31"/>
        </c:scaling>
        <c:delete val="0"/>
        <c:axPos val="t"/>
        <c:majorGridlines>
          <c:spPr>
            <a:ln w="9525" cap="flat" cmpd="sng" algn="ctr">
              <a:solidFill>
                <a:schemeClr val="tx1">
                  <a:lumMod val="15000"/>
                  <a:lumOff val="85000"/>
                </a:schemeClr>
              </a:solidFill>
              <a:round/>
            </a:ln>
            <a:effectLst/>
          </c:spPr>
        </c:majorGridlines>
        <c:numFmt formatCode="&quot;$&quot;#,##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635745680"/>
        <c:crosses val="autoZero"/>
        <c:crossBetween val="between"/>
        <c:majorUnit val="20"/>
      </c:valAx>
      <c:spPr>
        <a:noFill/>
        <a:ln>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4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baseline="0">
                <a:solidFill>
                  <a:sysClr val="windowText" lastClr="000000"/>
                </a:solidFill>
                <a:latin typeface="Arial" panose="020B0604020202020204" pitchFamily="34" charset="0"/>
                <a:ea typeface="+mn-ea"/>
                <a:cs typeface="Arial" panose="020B0604020202020204" pitchFamily="34" charset="0"/>
              </a:defRPr>
            </a:pPr>
            <a:r>
              <a:rPr lang="en-US"/>
              <a:t>Simulated $/kWh vs Basecase $/kWh of 116 MW,10 hour PSH system</a:t>
            </a:r>
          </a:p>
        </c:rich>
      </c:tx>
      <c:layout>
        <c:manualLayout>
          <c:xMode val="edge"/>
          <c:yMode val="edge"/>
          <c:x val="0.26189857541827577"/>
          <c:y val="3.6103822095984277E-2"/>
        </c:manualLayout>
      </c:layout>
      <c:overlay val="0"/>
      <c:spPr>
        <a:noFill/>
        <a:ln>
          <a:noFill/>
        </a:ln>
        <a:effectLst/>
      </c:spPr>
      <c:txPr>
        <a:bodyPr rot="0" spcFirstLastPara="1" vertOverflow="ellipsis" vert="horz" wrap="square" anchor="ctr" anchorCtr="1"/>
        <a:lstStyle/>
        <a:p>
          <a:pPr>
            <a:defRPr sz="1680" b="0" i="0" u="none" strike="noStrike"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33125938171771713"/>
          <c:y val="0.15290274617509603"/>
          <c:w val="0.62333286813961686"/>
          <c:h val="0.81017911677315546"/>
        </c:manualLayout>
      </c:layout>
      <c:barChart>
        <c:barDir val="bar"/>
        <c:grouping val="clustered"/>
        <c:varyColors val="0"/>
        <c:ser>
          <c:idx val="0"/>
          <c:order val="0"/>
          <c:tx>
            <c:strRef>
              <c:f>'Sensitivity Analysis'!$C$91</c:f>
              <c:strCache>
                <c:ptCount val="1"/>
                <c:pt idx="0">
                  <c:v>Low $/kWh</c:v>
                </c:pt>
              </c:strCache>
            </c:strRef>
          </c:tx>
          <c:spPr>
            <a:solidFill>
              <a:schemeClr val="accent1"/>
            </a:solidFill>
            <a:ln>
              <a:noFill/>
            </a:ln>
            <a:effectLst/>
          </c:spPr>
          <c:invertIfNegative val="0"/>
          <c:dLbls>
            <c:dLbl>
              <c:idx val="0"/>
              <c:tx>
                <c:rich>
                  <a:bodyPr/>
                  <a:lstStyle/>
                  <a:p>
                    <a:fld id="{133B8134-C8FC-48ED-9952-BFD12C26308D}" type="CELLRANGE">
                      <a:rPr lang="en-US"/>
                      <a:pPr/>
                      <a:t>[]</a:t>
                    </a:fld>
                    <a:r>
                      <a:rPr lang="en-US" baseline="0"/>
                      <a:t>, </a:t>
                    </a:r>
                    <a:fld id="{B5F7CBE0-49B4-46DE-BF5A-0325934455AE}"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5E1A-E440-BB50-53D3DA5A5BFF}"/>
                </c:ext>
              </c:extLst>
            </c:dLbl>
            <c:dLbl>
              <c:idx val="1"/>
              <c:tx>
                <c:rich>
                  <a:bodyPr/>
                  <a:lstStyle/>
                  <a:p>
                    <a:fld id="{62CA65FF-5755-4A07-9FE8-963CD789FCEE}" type="CELLRANGE">
                      <a:rPr lang="en-US"/>
                      <a:pPr/>
                      <a:t>[]</a:t>
                    </a:fld>
                    <a:r>
                      <a:rPr lang="en-US" baseline="0"/>
                      <a:t>, </a:t>
                    </a:r>
                    <a:fld id="{596E266C-2057-4F13-8009-E2C7A5E149B7}"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5E1A-E440-BB50-53D3DA5A5BFF}"/>
                </c:ext>
              </c:extLst>
            </c:dLbl>
            <c:dLbl>
              <c:idx val="2"/>
              <c:tx>
                <c:rich>
                  <a:bodyPr/>
                  <a:lstStyle/>
                  <a:p>
                    <a:fld id="{266D554A-47D0-419D-A737-40CDEF1FF92E}" type="CELLRANGE">
                      <a:rPr lang="en-US"/>
                      <a:pPr/>
                      <a:t>[]</a:t>
                    </a:fld>
                    <a:r>
                      <a:rPr lang="en-US" baseline="0"/>
                      <a:t>, </a:t>
                    </a:r>
                    <a:fld id="{A05D4944-D80B-47A8-998D-A329CEA7605B}"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5E1A-E440-BB50-53D3DA5A5BFF}"/>
                </c:ext>
              </c:extLst>
            </c:dLbl>
            <c:dLbl>
              <c:idx val="3"/>
              <c:tx>
                <c:rich>
                  <a:bodyPr/>
                  <a:lstStyle/>
                  <a:p>
                    <a:fld id="{EFBDE785-3148-4A81-9E62-6432BAF8E7D1}" type="CELLRANGE">
                      <a:rPr lang="en-US"/>
                      <a:pPr/>
                      <a:t>[]</a:t>
                    </a:fld>
                    <a:r>
                      <a:rPr lang="en-US" baseline="0"/>
                      <a:t>, </a:t>
                    </a:r>
                    <a:fld id="{404942E3-2CC6-4924-AB2E-0F950CF8A3CA}"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E1A-E440-BB50-53D3DA5A5BFF}"/>
                </c:ext>
              </c:extLst>
            </c:dLbl>
            <c:dLbl>
              <c:idx val="4"/>
              <c:tx>
                <c:rich>
                  <a:bodyPr/>
                  <a:lstStyle/>
                  <a:p>
                    <a:fld id="{C9345241-A2A0-4B35-9541-9C3BCB757CA7}" type="CELLRANGE">
                      <a:rPr lang="en-US"/>
                      <a:pPr/>
                      <a:t>[]</a:t>
                    </a:fld>
                    <a:r>
                      <a:rPr lang="en-US" baseline="0"/>
                      <a:t>, </a:t>
                    </a:r>
                    <a:fld id="{C6D0B30F-9115-4CA8-ADF8-0D19541CDA2A}"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E1A-E440-BB50-53D3DA5A5BFF}"/>
                </c:ext>
              </c:extLst>
            </c:dLbl>
            <c:dLbl>
              <c:idx val="5"/>
              <c:layout>
                <c:manualLayout>
                  <c:x val="7.8190073407423538E-3"/>
                  <c:y val="7.5840809112268431E-3"/>
                </c:manualLayout>
              </c:layout>
              <c:tx>
                <c:rich>
                  <a:bodyPr/>
                  <a:lstStyle/>
                  <a:p>
                    <a:fld id="{BF5CB1A7-DB6C-48D5-A257-9F61CD41A793}" type="CELLRANGE">
                      <a:rPr lang="en-US" baseline="0"/>
                      <a:pPr/>
                      <a:t>[]</a:t>
                    </a:fld>
                    <a:r>
                      <a:rPr lang="en-US" baseline="0"/>
                      <a:t>, </a:t>
                    </a:r>
                    <a:fld id="{8E9DDFC9-6F04-4AA9-8B3B-94BCD7C74A97}"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5E1A-E440-BB50-53D3DA5A5BFF}"/>
                </c:ext>
              </c:extLst>
            </c:dLbl>
            <c:dLbl>
              <c:idx val="6"/>
              <c:layout>
                <c:manualLayout>
                  <c:x val="5.4410845997085733E-3"/>
                  <c:y val="5.6838712447854585E-3"/>
                </c:manualLayout>
              </c:layout>
              <c:tx>
                <c:rich>
                  <a:bodyPr/>
                  <a:lstStyle/>
                  <a:p>
                    <a:fld id="{C9DEE338-47C9-4F84-A8B8-42A3FC88910F}" type="CELLRANGE">
                      <a:rPr lang="en-US" baseline="0"/>
                      <a:pPr/>
                      <a:t>[]</a:t>
                    </a:fld>
                    <a:r>
                      <a:rPr lang="en-US" baseline="0"/>
                      <a:t>, </a:t>
                    </a:r>
                    <a:fld id="{7762CC3C-A5E6-4E7B-A747-88CE7C7EDE0B}"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5E1A-E440-BB50-53D3DA5A5BFF}"/>
                </c:ext>
              </c:extLst>
            </c:dLbl>
            <c:dLbl>
              <c:idx val="7"/>
              <c:layout>
                <c:manualLayout>
                  <c:x val="4.378096969590687E-3"/>
                  <c:y val="1.4962280838121139E-7"/>
                </c:manualLayout>
              </c:layout>
              <c:tx>
                <c:rich>
                  <a:bodyPr/>
                  <a:lstStyle/>
                  <a:p>
                    <a:fld id="{96B901EA-C394-49EF-B6D3-FE3916AF1493}" type="CELLRANGE">
                      <a:rPr lang="en-US" baseline="0"/>
                      <a:pPr/>
                      <a:t>[]</a:t>
                    </a:fld>
                    <a:r>
                      <a:rPr lang="en-US" baseline="0"/>
                      <a:t>, </a:t>
                    </a:r>
                    <a:fld id="{55F0BCFF-B098-443A-9F3C-778381F09DD2}"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5E1A-E440-BB50-53D3DA5A5BFF}"/>
                </c:ext>
              </c:extLst>
            </c:dLbl>
            <c:numFmt formatCode="&quot;$&quot;#,##0" sourceLinked="0"/>
            <c:spPr>
              <a:noFill/>
              <a:ln>
                <a:noFill/>
              </a:ln>
              <a:effectLst/>
            </c:spPr>
            <c:txPr>
              <a:bodyPr rot="0" spcFirstLastPara="1" vertOverflow="ellipsis" vert="horz" wrap="square" anchor="ctr" anchorCtr="1"/>
              <a:lstStyle/>
              <a:p>
                <a:pPr>
                  <a:defRPr sz="1400" b="0" i="0" u="none" strike="noStrike"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'Sensitivity Analysis'!$B$92:$B$99</c:f>
              <c:strCache>
                <c:ptCount val="8"/>
                <c:pt idx="0">
                  <c:v>Nominal Head (Ft)</c:v>
                </c:pt>
                <c:pt idx="1">
                  <c:v>Duration (Hrs)</c:v>
                </c:pt>
                <c:pt idx="2">
                  <c:v>Conveyance Length (Ft)</c:v>
                </c:pt>
                <c:pt idx="3">
                  <c:v>Transmission Miles</c:v>
                </c:pt>
                <c:pt idx="4">
                  <c:v>Tranmission Type</c:v>
                </c:pt>
                <c:pt idx="5">
                  <c:v>Tunneling Condition</c:v>
                </c:pt>
                <c:pt idx="6">
                  <c:v>Power Station Structure Geology Type</c:v>
                </c:pt>
                <c:pt idx="7">
                  <c:v>U. Reservoir Intake/Outlet Type</c:v>
                </c:pt>
              </c:strCache>
            </c:strRef>
          </c:cat>
          <c:val>
            <c:numRef>
              <c:f>'Sensitivity Analysis'!$C$92:$C$99</c:f>
              <c:numCache>
                <c:formatCode>_("$"* #,##0.00_);_("$"* \(#,##0.00\);_("$"* "-"??_);_(@_)</c:formatCode>
                <c:ptCount val="8"/>
                <c:pt idx="0">
                  <c:v>358.62650000000002</c:v>
                </c:pt>
                <c:pt idx="1">
                  <c:v>392.18380000000002</c:v>
                </c:pt>
                <c:pt idx="2">
                  <c:v>349.14069999999998</c:v>
                </c:pt>
                <c:pt idx="3">
                  <c:v>369.97140000000002</c:v>
                </c:pt>
                <c:pt idx="4">
                  <c:v>362.8306</c:v>
                </c:pt>
                <c:pt idx="5">
                  <c:v>426.84719999999999</c:v>
                </c:pt>
                <c:pt idx="6">
                  <c:v>426.84719999999999</c:v>
                </c:pt>
                <c:pt idx="7">
                  <c:v>426.84719999999999</c:v>
                </c:pt>
              </c:numCache>
            </c:numRef>
          </c:val>
          <c:extLst>
            <c:ext xmlns:c15="http://schemas.microsoft.com/office/drawing/2012/chart" uri="{02D57815-91ED-43cb-92C2-25804820EDAC}">
              <c15:datalabelsRange>
                <c15:f>'Sensitivity Analysis'!$F$92:$F$99</c15:f>
                <c15:dlblRangeCache>
                  <c:ptCount val="8"/>
                  <c:pt idx="0">
                    <c:v>1500 ft</c:v>
                  </c:pt>
                  <c:pt idx="1">
                    <c:v>14 hours</c:v>
                  </c:pt>
                  <c:pt idx="2">
                    <c:v>5000 ft</c:v>
                  </c:pt>
                  <c:pt idx="3">
                    <c:v>20 miles</c:v>
                  </c:pt>
                  <c:pt idx="4">
                    <c:v>Single</c:v>
                  </c:pt>
                  <c:pt idx="5">
                    <c:v>Average</c:v>
                  </c:pt>
                  <c:pt idx="6">
                    <c:v>Average</c:v>
                  </c:pt>
                  <c:pt idx="7">
                    <c:v>Vertical</c:v>
                  </c:pt>
                </c15:dlblRangeCache>
              </c15:datalabelsRange>
            </c:ext>
            <c:ext xmlns:c16="http://schemas.microsoft.com/office/drawing/2014/chart" uri="{C3380CC4-5D6E-409C-BE32-E72D297353CC}">
              <c16:uniqueId val="{0000000C-5E1A-E440-BB50-53D3DA5A5BFF}"/>
            </c:ext>
          </c:extLst>
        </c:ser>
        <c:ser>
          <c:idx val="1"/>
          <c:order val="1"/>
          <c:tx>
            <c:strRef>
              <c:f>'Sensitivity Analysis'!$D$91</c:f>
              <c:strCache>
                <c:ptCount val="1"/>
                <c:pt idx="0">
                  <c:v> High $/kWh</c:v>
                </c:pt>
              </c:strCache>
            </c:strRef>
          </c:tx>
          <c:spPr>
            <a:solidFill>
              <a:schemeClr val="accent2"/>
            </a:solidFill>
            <a:ln>
              <a:noFill/>
            </a:ln>
            <a:effectLst/>
          </c:spPr>
          <c:invertIfNegative val="0"/>
          <c:dLbls>
            <c:dLbl>
              <c:idx val="0"/>
              <c:tx>
                <c:rich>
                  <a:bodyPr/>
                  <a:lstStyle/>
                  <a:p>
                    <a:fld id="{FF249D3A-1582-4487-AF31-A7BA26C8E4EF}" type="CELLRANGE">
                      <a:rPr lang="en-US"/>
                      <a:pPr/>
                      <a:t>[]</a:t>
                    </a:fld>
                    <a:r>
                      <a:rPr lang="en-US" baseline="0"/>
                      <a:t>, </a:t>
                    </a:r>
                    <a:fld id="{A7817924-2C13-4CD0-88B2-BB938D7765C1}"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5E1A-E440-BB50-53D3DA5A5BFF}"/>
                </c:ext>
              </c:extLst>
            </c:dLbl>
            <c:dLbl>
              <c:idx val="1"/>
              <c:tx>
                <c:rich>
                  <a:bodyPr/>
                  <a:lstStyle/>
                  <a:p>
                    <a:fld id="{A2CC8A8F-E4FB-4816-8EE9-33FF983C4BE4}" type="CELLRANGE">
                      <a:rPr lang="en-US"/>
                      <a:pPr/>
                      <a:t>[]</a:t>
                    </a:fld>
                    <a:r>
                      <a:rPr lang="en-US" baseline="0"/>
                      <a:t>, </a:t>
                    </a:r>
                    <a:fld id="{ED9F1069-FA6F-4FAC-97B5-13DE6144AD2F}"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5E1A-E440-BB50-53D3DA5A5BFF}"/>
                </c:ext>
              </c:extLst>
            </c:dLbl>
            <c:dLbl>
              <c:idx val="2"/>
              <c:tx>
                <c:rich>
                  <a:bodyPr/>
                  <a:lstStyle/>
                  <a:p>
                    <a:fld id="{7348CD6D-ACF0-45A9-9497-EDD29C9DE00C}" type="CELLRANGE">
                      <a:rPr lang="en-US"/>
                      <a:pPr/>
                      <a:t>[]</a:t>
                    </a:fld>
                    <a:r>
                      <a:rPr lang="en-US" baseline="0"/>
                      <a:t>, </a:t>
                    </a:r>
                    <a:fld id="{2C3763F5-BC60-4DC8-8AA5-720889B5CA61}"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5E1A-E440-BB50-53D3DA5A5BFF}"/>
                </c:ext>
              </c:extLst>
            </c:dLbl>
            <c:dLbl>
              <c:idx val="3"/>
              <c:tx>
                <c:rich>
                  <a:bodyPr/>
                  <a:lstStyle/>
                  <a:p>
                    <a:fld id="{A9BDB1BD-E46C-4F68-B232-9B2AF5E0F023}" type="CELLRANGE">
                      <a:rPr lang="en-US"/>
                      <a:pPr/>
                      <a:t>[]</a:t>
                    </a:fld>
                    <a:r>
                      <a:rPr lang="en-US" baseline="0"/>
                      <a:t>, </a:t>
                    </a:r>
                    <a:fld id="{DF48584A-D01C-473A-826C-5D131CFCBA66}"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5E1A-E440-BB50-53D3DA5A5BFF}"/>
                </c:ext>
              </c:extLst>
            </c:dLbl>
            <c:dLbl>
              <c:idx val="4"/>
              <c:layout>
                <c:manualLayout>
                  <c:x val="-8.6858669483799139E-2"/>
                  <c:y val="6.9673549561394096E-17"/>
                </c:manualLayout>
              </c:layout>
              <c:tx>
                <c:rich>
                  <a:bodyPr/>
                  <a:lstStyle/>
                  <a:p>
                    <a:fld id="{7A14956D-7080-4153-92B3-766CDB1A7AC4}" type="CELLRANGE">
                      <a:rPr lang="en-US" baseline="0"/>
                      <a:pPr/>
                      <a:t>[]</a:t>
                    </a:fld>
                    <a:r>
                      <a:rPr lang="en-US" baseline="0"/>
                      <a:t>, </a:t>
                    </a:r>
                    <a:fld id="{7C98E8BF-0D3A-4B44-902D-AE0FBAF77614}"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5E1A-E440-BB50-53D3DA5A5BFF}"/>
                </c:ext>
              </c:extLst>
            </c:dLbl>
            <c:dLbl>
              <c:idx val="5"/>
              <c:tx>
                <c:rich>
                  <a:bodyPr/>
                  <a:lstStyle/>
                  <a:p>
                    <a:fld id="{347C5B08-4212-48AF-AC34-DD4B3A2797BC}" type="CELLRANGE">
                      <a:rPr lang="en-US"/>
                      <a:pPr/>
                      <a:t>[]</a:t>
                    </a:fld>
                    <a:r>
                      <a:rPr lang="en-US" baseline="0"/>
                      <a:t>, </a:t>
                    </a:r>
                    <a:fld id="{CAE2302E-725B-40FC-BA03-CB466BB0FA22}"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5E1A-E440-BB50-53D3DA5A5BFF}"/>
                </c:ext>
              </c:extLst>
            </c:dLbl>
            <c:dLbl>
              <c:idx val="6"/>
              <c:tx>
                <c:rich>
                  <a:bodyPr/>
                  <a:lstStyle/>
                  <a:p>
                    <a:fld id="{97138FEA-DB11-4D12-9385-D027C08B5042}" type="CELLRANGE">
                      <a:rPr lang="en-US"/>
                      <a:pPr/>
                      <a:t>[]</a:t>
                    </a:fld>
                    <a:r>
                      <a:rPr lang="en-US" baseline="0"/>
                      <a:t>, </a:t>
                    </a:r>
                    <a:fld id="{F2FBF9AE-C708-48D1-BE15-6AEC3AFA8DB6}"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5E1A-E440-BB50-53D3DA5A5BFF}"/>
                </c:ext>
              </c:extLst>
            </c:dLbl>
            <c:dLbl>
              <c:idx val="7"/>
              <c:layout>
                <c:manualLayout>
                  <c:x val="6.1415220847129458E-3"/>
                  <c:y val="2.9924561676242279E-7"/>
                </c:manualLayout>
              </c:layout>
              <c:tx>
                <c:rich>
                  <a:bodyPr/>
                  <a:lstStyle/>
                  <a:p>
                    <a:fld id="{244586D0-ADB3-4000-9027-C534FCBAF79E}" type="CELLRANGE">
                      <a:rPr lang="en-US" baseline="0"/>
                      <a:pPr/>
                      <a:t>[]</a:t>
                    </a:fld>
                    <a:r>
                      <a:rPr lang="en-US" baseline="0"/>
                      <a:t>, </a:t>
                    </a:r>
                    <a:fld id="{9EEDFA67-5F7D-4ADD-AF32-A6EAF57149AA}" type="VALUE">
                      <a:rPr lang="en-US" baseline="0"/>
                      <a:pPr/>
                      <a:t>[]</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5E1A-E440-BB50-53D3DA5A5BFF}"/>
                </c:ext>
              </c:extLst>
            </c:dLbl>
            <c:numFmt formatCode="&quot;$&quot;#,##0" sourceLinked="0"/>
            <c:spPr>
              <a:noFill/>
              <a:ln>
                <a:noFill/>
              </a:ln>
              <a:effectLst/>
            </c:spPr>
            <c:txPr>
              <a:bodyPr rot="0" spcFirstLastPara="1" vertOverflow="ellipsis" vert="horz" wrap="square" anchor="ctr" anchorCtr="1"/>
              <a:lstStyle/>
              <a:p>
                <a:pPr>
                  <a:defRPr sz="1400" b="0" i="0" u="none" strike="noStrike"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'Sensitivity Analysis'!$B$92:$B$99</c:f>
              <c:strCache>
                <c:ptCount val="8"/>
                <c:pt idx="0">
                  <c:v>Nominal Head (Ft)</c:v>
                </c:pt>
                <c:pt idx="1">
                  <c:v>Duration (Hrs)</c:v>
                </c:pt>
                <c:pt idx="2">
                  <c:v>Conveyance Length (Ft)</c:v>
                </c:pt>
                <c:pt idx="3">
                  <c:v>Transmission Miles</c:v>
                </c:pt>
                <c:pt idx="4">
                  <c:v>Tranmission Type</c:v>
                </c:pt>
                <c:pt idx="5">
                  <c:v>Tunneling Condition</c:v>
                </c:pt>
                <c:pt idx="6">
                  <c:v>Power Station Structure Geology Type</c:v>
                </c:pt>
                <c:pt idx="7">
                  <c:v>U. Reservoir Intake/Outlet Type</c:v>
                </c:pt>
              </c:strCache>
            </c:strRef>
          </c:cat>
          <c:val>
            <c:numRef>
              <c:f>'Sensitivity Analysis'!$D$92:$D$99</c:f>
              <c:numCache>
                <c:formatCode>_("$"* #,##0.00_);_("$"* \(#,##0.00\);_("$"* "-"??_);_(@_)</c:formatCode>
                <c:ptCount val="8"/>
                <c:pt idx="0">
                  <c:v>858.95180000000005</c:v>
                </c:pt>
                <c:pt idx="1">
                  <c:v>584.1585</c:v>
                </c:pt>
                <c:pt idx="2">
                  <c:v>472.58760000000001</c:v>
                </c:pt>
                <c:pt idx="3">
                  <c:v>483.72300000000001</c:v>
                </c:pt>
                <c:pt idx="4">
                  <c:v>426.84719999999999</c:v>
                </c:pt>
                <c:pt idx="5">
                  <c:v>442.44130000000001</c:v>
                </c:pt>
                <c:pt idx="6">
                  <c:v>444.15289999999999</c:v>
                </c:pt>
                <c:pt idx="7">
                  <c:v>435.41919999999999</c:v>
                </c:pt>
              </c:numCache>
            </c:numRef>
          </c:val>
          <c:extLst>
            <c:ext xmlns:c15="http://schemas.microsoft.com/office/drawing/2012/chart" uri="{02D57815-91ED-43cb-92C2-25804820EDAC}">
              <c15:datalabelsRange>
                <c15:f>'Sensitivity Analysis'!$G$92:$G$99</c15:f>
                <c15:dlblRangeCache>
                  <c:ptCount val="8"/>
                  <c:pt idx="0">
                    <c:v>500 ft</c:v>
                  </c:pt>
                  <c:pt idx="1">
                    <c:v>6 hours</c:v>
                  </c:pt>
                  <c:pt idx="2">
                    <c:v>15000 ft</c:v>
                  </c:pt>
                  <c:pt idx="3">
                    <c:v>40 miles</c:v>
                  </c:pt>
                  <c:pt idx="4">
                    <c:v>Double</c:v>
                  </c:pt>
                  <c:pt idx="5">
                    <c:v>Poor</c:v>
                  </c:pt>
                  <c:pt idx="6">
                    <c:v>Adverse</c:v>
                  </c:pt>
                  <c:pt idx="7">
                    <c:v>Horizontal</c:v>
                  </c:pt>
                </c15:dlblRangeCache>
              </c15:datalabelsRange>
            </c:ext>
            <c:ext xmlns:c16="http://schemas.microsoft.com/office/drawing/2014/chart" uri="{C3380CC4-5D6E-409C-BE32-E72D297353CC}">
              <c16:uniqueId val="{00000019-5E1A-E440-BB50-53D3DA5A5BFF}"/>
            </c:ext>
          </c:extLst>
        </c:ser>
        <c:dLbls>
          <c:showLegendKey val="0"/>
          <c:showVal val="1"/>
          <c:showCatName val="0"/>
          <c:showSerName val="0"/>
          <c:showPercent val="0"/>
          <c:showBubbleSize val="0"/>
        </c:dLbls>
        <c:gapWidth val="6"/>
        <c:overlap val="100"/>
        <c:axId val="635745680"/>
        <c:axId val="635746008"/>
      </c:barChart>
      <c:catAx>
        <c:axId val="635745680"/>
        <c:scaling>
          <c:orientation val="maxMin"/>
        </c:scaling>
        <c:delete val="0"/>
        <c:axPos val="l"/>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635746008"/>
        <c:crossesAt val="426.85"/>
        <c:auto val="1"/>
        <c:lblAlgn val="ctr"/>
        <c:lblOffset val="100"/>
        <c:noMultiLvlLbl val="0"/>
      </c:catAx>
      <c:valAx>
        <c:axId val="635746008"/>
        <c:scaling>
          <c:orientation val="minMax"/>
          <c:max val="1000"/>
          <c:min val="200"/>
        </c:scaling>
        <c:delete val="0"/>
        <c:axPos val="t"/>
        <c:majorGridlines>
          <c:spPr>
            <a:ln w="9525" cap="flat" cmpd="sng" algn="ctr">
              <a:solidFill>
                <a:schemeClr val="tx1">
                  <a:lumMod val="15000"/>
                  <a:lumOff val="85000"/>
                </a:schemeClr>
              </a:solidFill>
              <a:round/>
            </a:ln>
            <a:effectLst/>
          </c:spPr>
        </c:majorGridlines>
        <c:numFmt formatCode="&quot;$&quot;#,##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635745680"/>
        <c:crosses val="autoZero"/>
        <c:crossBetween val="between"/>
        <c:majorUnit val="100"/>
      </c:valAx>
      <c:spPr>
        <a:noFill/>
        <a:ln>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4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image" Target="../media/image1.png"/><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8.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7.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6.xml"/><Relationship Id="rId30" Type="http://schemas.openxmlformats.org/officeDocument/2006/relationships/chart" Target="../charts/chart29.xml"/></Relationships>
</file>

<file path=xl/drawings/_rels/drawing2.xml.rels><?xml version="1.0" encoding="UTF-8" standalone="yes"?>
<Relationships xmlns="http://schemas.openxmlformats.org/package/2006/relationships"><Relationship Id="rId8" Type="http://schemas.openxmlformats.org/officeDocument/2006/relationships/chart" Target="../charts/chart37.xml"/><Relationship Id="rId13" Type="http://schemas.openxmlformats.org/officeDocument/2006/relationships/chart" Target="../charts/chart42.xml"/><Relationship Id="rId18" Type="http://schemas.openxmlformats.org/officeDocument/2006/relationships/chart" Target="../charts/chart47.xml"/><Relationship Id="rId26" Type="http://schemas.openxmlformats.org/officeDocument/2006/relationships/image" Target="../media/image1.png"/><Relationship Id="rId3" Type="http://schemas.openxmlformats.org/officeDocument/2006/relationships/chart" Target="../charts/chart32.xml"/><Relationship Id="rId21" Type="http://schemas.openxmlformats.org/officeDocument/2006/relationships/chart" Target="../charts/chart50.xml"/><Relationship Id="rId7" Type="http://schemas.openxmlformats.org/officeDocument/2006/relationships/chart" Target="../charts/chart36.xml"/><Relationship Id="rId12" Type="http://schemas.openxmlformats.org/officeDocument/2006/relationships/chart" Target="../charts/chart41.xml"/><Relationship Id="rId17" Type="http://schemas.openxmlformats.org/officeDocument/2006/relationships/chart" Target="../charts/chart46.xml"/><Relationship Id="rId25" Type="http://schemas.openxmlformats.org/officeDocument/2006/relationships/chart" Target="../charts/chart54.xml"/><Relationship Id="rId2" Type="http://schemas.openxmlformats.org/officeDocument/2006/relationships/chart" Target="../charts/chart31.xml"/><Relationship Id="rId16" Type="http://schemas.openxmlformats.org/officeDocument/2006/relationships/chart" Target="../charts/chart45.xml"/><Relationship Id="rId20" Type="http://schemas.openxmlformats.org/officeDocument/2006/relationships/chart" Target="../charts/chart49.xml"/><Relationship Id="rId29" Type="http://schemas.openxmlformats.org/officeDocument/2006/relationships/chart" Target="../charts/chart57.xml"/><Relationship Id="rId1" Type="http://schemas.openxmlformats.org/officeDocument/2006/relationships/chart" Target="../charts/chart30.xml"/><Relationship Id="rId6" Type="http://schemas.openxmlformats.org/officeDocument/2006/relationships/chart" Target="../charts/chart35.xml"/><Relationship Id="rId11" Type="http://schemas.openxmlformats.org/officeDocument/2006/relationships/chart" Target="../charts/chart40.xml"/><Relationship Id="rId24" Type="http://schemas.openxmlformats.org/officeDocument/2006/relationships/chart" Target="../charts/chart53.xml"/><Relationship Id="rId5" Type="http://schemas.openxmlformats.org/officeDocument/2006/relationships/chart" Target="../charts/chart34.xml"/><Relationship Id="rId15" Type="http://schemas.openxmlformats.org/officeDocument/2006/relationships/chart" Target="../charts/chart44.xml"/><Relationship Id="rId23" Type="http://schemas.openxmlformats.org/officeDocument/2006/relationships/chart" Target="../charts/chart52.xml"/><Relationship Id="rId28" Type="http://schemas.openxmlformats.org/officeDocument/2006/relationships/chart" Target="../charts/chart56.xml"/><Relationship Id="rId10" Type="http://schemas.openxmlformats.org/officeDocument/2006/relationships/chart" Target="../charts/chart39.xml"/><Relationship Id="rId19" Type="http://schemas.openxmlformats.org/officeDocument/2006/relationships/chart" Target="../charts/chart48.xml"/><Relationship Id="rId4" Type="http://schemas.openxmlformats.org/officeDocument/2006/relationships/chart" Target="../charts/chart33.xml"/><Relationship Id="rId9" Type="http://schemas.openxmlformats.org/officeDocument/2006/relationships/chart" Target="../charts/chart38.xml"/><Relationship Id="rId14" Type="http://schemas.openxmlformats.org/officeDocument/2006/relationships/chart" Target="../charts/chart43.xml"/><Relationship Id="rId22" Type="http://schemas.openxmlformats.org/officeDocument/2006/relationships/chart" Target="../charts/chart51.xml"/><Relationship Id="rId27" Type="http://schemas.openxmlformats.org/officeDocument/2006/relationships/chart" Target="../charts/chart55.xml"/><Relationship Id="rId30" Type="http://schemas.openxmlformats.org/officeDocument/2006/relationships/chart" Target="../charts/chart58.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drawing1.xml><?xml version="1.0" encoding="utf-8"?>
<xdr:wsDr xmlns:xdr="http://schemas.openxmlformats.org/drawingml/2006/spreadsheetDrawing" xmlns:a="http://schemas.openxmlformats.org/drawingml/2006/main">
  <xdr:twoCellAnchor>
    <xdr:from>
      <xdr:col>0</xdr:col>
      <xdr:colOff>427990</xdr:colOff>
      <xdr:row>11</xdr:row>
      <xdr:rowOff>102870</xdr:rowOff>
    </xdr:from>
    <xdr:to>
      <xdr:col>8</xdr:col>
      <xdr:colOff>535940</xdr:colOff>
      <xdr:row>41</xdr:row>
      <xdr:rowOff>5080</xdr:rowOff>
    </xdr:to>
    <xdr:graphicFrame macro="">
      <xdr:nvGraphicFramePr>
        <xdr:cNvPr id="27" name="Chart 1">
          <a:extLst>
            <a:ext uri="{FF2B5EF4-FFF2-40B4-BE49-F238E27FC236}">
              <a16:creationId xmlns:a16="http://schemas.microsoft.com/office/drawing/2014/main" id="{00000000-0008-0000-02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535940</xdr:colOff>
      <xdr:row>11</xdr:row>
      <xdr:rowOff>58420</xdr:rowOff>
    </xdr:from>
    <xdr:to>
      <xdr:col>19</xdr:col>
      <xdr:colOff>53340</xdr:colOff>
      <xdr:row>41</xdr:row>
      <xdr:rowOff>5080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538480</xdr:colOff>
      <xdr:row>11</xdr:row>
      <xdr:rowOff>52070</xdr:rowOff>
    </xdr:from>
    <xdr:to>
      <xdr:col>29</xdr:col>
      <xdr:colOff>15240</xdr:colOff>
      <xdr:row>41</xdr:row>
      <xdr:rowOff>5080</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538479</xdr:colOff>
      <xdr:row>11</xdr:row>
      <xdr:rowOff>52070</xdr:rowOff>
    </xdr:from>
    <xdr:to>
      <xdr:col>40</xdr:col>
      <xdr:colOff>484909</xdr:colOff>
      <xdr:row>41</xdr:row>
      <xdr:rowOff>43180</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440315</xdr:colOff>
      <xdr:row>53</xdr:row>
      <xdr:rowOff>172173</xdr:rowOff>
    </xdr:from>
    <xdr:to>
      <xdr:col>9</xdr:col>
      <xdr:colOff>126</xdr:colOff>
      <xdr:row>83</xdr:row>
      <xdr:rowOff>60837</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5051</xdr:colOff>
      <xdr:row>53</xdr:row>
      <xdr:rowOff>158172</xdr:rowOff>
    </xdr:from>
    <xdr:to>
      <xdr:col>18</xdr:col>
      <xdr:colOff>541481</xdr:colOff>
      <xdr:row>83</xdr:row>
      <xdr:rowOff>79375</xdr:rowOff>
    </xdr:to>
    <xdr:graphicFrame macro="">
      <xdr:nvGraphicFramePr>
        <xdr:cNvPr id="7" name="Chart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24694</xdr:colOff>
      <xdr:row>53</xdr:row>
      <xdr:rowOff>151223</xdr:rowOff>
    </xdr:from>
    <xdr:to>
      <xdr:col>29</xdr:col>
      <xdr:colOff>47037</xdr:colOff>
      <xdr:row>83</xdr:row>
      <xdr:rowOff>105832</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30</xdr:col>
      <xdr:colOff>48213</xdr:colOff>
      <xdr:row>53</xdr:row>
      <xdr:rowOff>139464</xdr:rowOff>
    </xdr:from>
    <xdr:to>
      <xdr:col>40</xdr:col>
      <xdr:colOff>334818</xdr:colOff>
      <xdr:row>83</xdr:row>
      <xdr:rowOff>94073</xdr:rowOff>
    </xdr:to>
    <xdr:graphicFrame macro="">
      <xdr:nvGraphicFramePr>
        <xdr:cNvPr id="9" name="Chart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5406</xdr:colOff>
      <xdr:row>100</xdr:row>
      <xdr:rowOff>0</xdr:rowOff>
    </xdr:from>
    <xdr:to>
      <xdr:col>5</xdr:col>
      <xdr:colOff>533399</xdr:colOff>
      <xdr:row>120</xdr:row>
      <xdr:rowOff>187719</xdr:rowOff>
    </xdr:to>
    <xdr:graphicFrame macro="">
      <xdr:nvGraphicFramePr>
        <xdr:cNvPr id="10" name="Chart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114300</xdr:colOff>
      <xdr:row>95</xdr:row>
      <xdr:rowOff>92428</xdr:rowOff>
    </xdr:from>
    <xdr:to>
      <xdr:col>19</xdr:col>
      <xdr:colOff>0</xdr:colOff>
      <xdr:row>117</xdr:row>
      <xdr:rowOff>188149</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24695</xdr:colOff>
      <xdr:row>95</xdr:row>
      <xdr:rowOff>57149</xdr:rowOff>
    </xdr:from>
    <xdr:to>
      <xdr:col>29</xdr:col>
      <xdr:colOff>311727</xdr:colOff>
      <xdr:row>119</xdr:row>
      <xdr:rowOff>80817</xdr:rowOff>
    </xdr:to>
    <xdr:graphicFrame macro="">
      <xdr:nvGraphicFramePr>
        <xdr:cNvPr id="12" name="Chart 11">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45720</xdr:colOff>
      <xdr:row>95</xdr:row>
      <xdr:rowOff>35560</xdr:rowOff>
    </xdr:from>
    <xdr:to>
      <xdr:col>38</xdr:col>
      <xdr:colOff>762000</xdr:colOff>
      <xdr:row>117</xdr:row>
      <xdr:rowOff>172720</xdr:rowOff>
    </xdr:to>
    <xdr:graphicFrame macro="">
      <xdr:nvGraphicFramePr>
        <xdr:cNvPr id="13" name="Chart 12">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254000</xdr:colOff>
      <xdr:row>132</xdr:row>
      <xdr:rowOff>0</xdr:rowOff>
    </xdr:from>
    <xdr:to>
      <xdr:col>9</xdr:col>
      <xdr:colOff>111760</xdr:colOff>
      <xdr:row>154</xdr:row>
      <xdr:rowOff>111760</xdr:rowOff>
    </xdr:to>
    <xdr:graphicFrame macro="">
      <xdr:nvGraphicFramePr>
        <xdr:cNvPr id="14" name="Chart 13">
          <a:extLst>
            <a:ext uri="{FF2B5EF4-FFF2-40B4-BE49-F238E27FC236}">
              <a16:creationId xmlns:a16="http://schemas.microsoft.com/office/drawing/2014/main" id="{00000000-0008-0000-02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xdr:col>
      <xdr:colOff>40640</xdr:colOff>
      <xdr:row>132</xdr:row>
      <xdr:rowOff>25400</xdr:rowOff>
    </xdr:from>
    <xdr:to>
      <xdr:col>18</xdr:col>
      <xdr:colOff>802640</xdr:colOff>
      <xdr:row>154</xdr:row>
      <xdr:rowOff>121920</xdr:rowOff>
    </xdr:to>
    <xdr:graphicFrame macro="">
      <xdr:nvGraphicFramePr>
        <xdr:cNvPr id="15" name="Chart 14">
          <a:extLst>
            <a:ext uri="{FF2B5EF4-FFF2-40B4-BE49-F238E27FC236}">
              <a16:creationId xmlns:a16="http://schemas.microsoft.com/office/drawing/2014/main" id="{00000000-0008-0000-0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240937</xdr:colOff>
      <xdr:row>171</xdr:row>
      <xdr:rowOff>37739</xdr:rowOff>
    </xdr:from>
    <xdr:to>
      <xdr:col>9</xdr:col>
      <xdr:colOff>63137</xdr:colOff>
      <xdr:row>200</xdr:row>
      <xdr:rowOff>191589</xdr:rowOff>
    </xdr:to>
    <xdr:graphicFrame macro="">
      <xdr:nvGraphicFramePr>
        <xdr:cNvPr id="16" name="Chart 15">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10</xdr:col>
      <xdr:colOff>46808</xdr:colOff>
      <xdr:row>171</xdr:row>
      <xdr:rowOff>35561</xdr:rowOff>
    </xdr:from>
    <xdr:to>
      <xdr:col>18</xdr:col>
      <xdr:colOff>542108</xdr:colOff>
      <xdr:row>200</xdr:row>
      <xdr:rowOff>172720</xdr:rowOff>
    </xdr:to>
    <xdr:graphicFrame macro="">
      <xdr:nvGraphicFramePr>
        <xdr:cNvPr id="17" name="Chart 16">
          <a:extLst>
            <a:ext uri="{FF2B5EF4-FFF2-40B4-BE49-F238E27FC236}">
              <a16:creationId xmlns:a16="http://schemas.microsoft.com/office/drawing/2014/main" id="{00000000-0008-0000-02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19</xdr:col>
      <xdr:colOff>523239</xdr:colOff>
      <xdr:row>171</xdr:row>
      <xdr:rowOff>32295</xdr:rowOff>
    </xdr:from>
    <xdr:to>
      <xdr:col>28</xdr:col>
      <xdr:colOff>504734</xdr:colOff>
      <xdr:row>201</xdr:row>
      <xdr:rowOff>363</xdr:rowOff>
    </xdr:to>
    <xdr:graphicFrame macro="">
      <xdr:nvGraphicFramePr>
        <xdr:cNvPr id="18" name="Chart 17">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29</xdr:col>
      <xdr:colOff>540294</xdr:colOff>
      <xdr:row>171</xdr:row>
      <xdr:rowOff>42455</xdr:rowOff>
    </xdr:from>
    <xdr:to>
      <xdr:col>38</xdr:col>
      <xdr:colOff>537028</xdr:colOff>
      <xdr:row>201</xdr:row>
      <xdr:rowOff>10523</xdr:rowOff>
    </xdr:to>
    <xdr:graphicFrame macro="">
      <xdr:nvGraphicFramePr>
        <xdr:cNvPr id="19" name="Chart 18">
          <a:extLst>
            <a:ext uri="{FF2B5EF4-FFF2-40B4-BE49-F238E27FC236}">
              <a16:creationId xmlns:a16="http://schemas.microsoft.com/office/drawing/2014/main" id="{00000000-0008-0000-02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10</xdr:col>
      <xdr:colOff>40821</xdr:colOff>
      <xdr:row>213</xdr:row>
      <xdr:rowOff>166008</xdr:rowOff>
    </xdr:from>
    <xdr:to>
      <xdr:col>19</xdr:col>
      <xdr:colOff>10885</xdr:colOff>
      <xdr:row>237</xdr:row>
      <xdr:rowOff>58057</xdr:rowOff>
    </xdr:to>
    <xdr:graphicFrame macro="">
      <xdr:nvGraphicFramePr>
        <xdr:cNvPr id="20" name="Chart 19">
          <a:extLst>
            <a:ext uri="{FF2B5EF4-FFF2-40B4-BE49-F238E27FC236}">
              <a16:creationId xmlns:a16="http://schemas.microsoft.com/office/drawing/2014/main" id="{00000000-0008-0000-02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18143</xdr:colOff>
      <xdr:row>213</xdr:row>
      <xdr:rowOff>160565</xdr:rowOff>
    </xdr:from>
    <xdr:to>
      <xdr:col>9</xdr:col>
      <xdr:colOff>19957</xdr:colOff>
      <xdr:row>237</xdr:row>
      <xdr:rowOff>52614</xdr:rowOff>
    </xdr:to>
    <xdr:graphicFrame macro="">
      <xdr:nvGraphicFramePr>
        <xdr:cNvPr id="21" name="Chart 20">
          <a:extLst>
            <a:ext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xdr:col>
      <xdr:colOff>31750</xdr:colOff>
      <xdr:row>214</xdr:row>
      <xdr:rowOff>4536</xdr:rowOff>
    </xdr:from>
    <xdr:to>
      <xdr:col>29</xdr:col>
      <xdr:colOff>1814</xdr:colOff>
      <xdr:row>237</xdr:row>
      <xdr:rowOff>48986</xdr:rowOff>
    </xdr:to>
    <xdr:graphicFrame macro="">
      <xdr:nvGraphicFramePr>
        <xdr:cNvPr id="22" name="Chart 21">
          <a:extLst>
            <a:ext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30</xdr:col>
      <xdr:colOff>907</xdr:colOff>
      <xdr:row>214</xdr:row>
      <xdr:rowOff>22678</xdr:rowOff>
    </xdr:from>
    <xdr:to>
      <xdr:col>38</xdr:col>
      <xdr:colOff>527957</xdr:colOff>
      <xdr:row>237</xdr:row>
      <xdr:rowOff>54428</xdr:rowOff>
    </xdr:to>
    <xdr:graphicFrame macro="">
      <xdr:nvGraphicFramePr>
        <xdr:cNvPr id="23" name="Chart 22">
          <a:extLst>
            <a:ext uri="{FF2B5EF4-FFF2-40B4-BE49-F238E27FC236}">
              <a16:creationId xmlns:a16="http://schemas.microsoft.com/office/drawing/2014/main" id="{00000000-0008-0000-02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0</xdr:col>
      <xdr:colOff>0</xdr:colOff>
      <xdr:row>246</xdr:row>
      <xdr:rowOff>196850</xdr:rowOff>
    </xdr:from>
    <xdr:to>
      <xdr:col>8</xdr:col>
      <xdr:colOff>774700</xdr:colOff>
      <xdr:row>269</xdr:row>
      <xdr:rowOff>177800</xdr:rowOff>
    </xdr:to>
    <xdr:graphicFrame macro="">
      <xdr:nvGraphicFramePr>
        <xdr:cNvPr id="24" name="Chart 23">
          <a:extLst>
            <a:ext uri="{FF2B5EF4-FFF2-40B4-BE49-F238E27FC236}">
              <a16:creationId xmlns:a16="http://schemas.microsoft.com/office/drawing/2014/main" id="{00000000-0008-0000-02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9</xdr:col>
      <xdr:colOff>533399</xdr:colOff>
      <xdr:row>248</xdr:row>
      <xdr:rowOff>142423</xdr:rowOff>
    </xdr:from>
    <xdr:to>
      <xdr:col>18</xdr:col>
      <xdr:colOff>509814</xdr:colOff>
      <xdr:row>271</xdr:row>
      <xdr:rowOff>136072</xdr:rowOff>
    </xdr:to>
    <xdr:graphicFrame macro="">
      <xdr:nvGraphicFramePr>
        <xdr:cNvPr id="25" name="Chart 24">
          <a:extLst>
            <a:ext uri="{FF2B5EF4-FFF2-40B4-BE49-F238E27FC236}">
              <a16:creationId xmlns:a16="http://schemas.microsoft.com/office/drawing/2014/main" id="{00000000-0008-0000-02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0</xdr:col>
      <xdr:colOff>72270</xdr:colOff>
      <xdr:row>304</xdr:row>
      <xdr:rowOff>23284</xdr:rowOff>
    </xdr:from>
    <xdr:to>
      <xdr:col>9</xdr:col>
      <xdr:colOff>42333</xdr:colOff>
      <xdr:row>330</xdr:row>
      <xdr:rowOff>42333</xdr:rowOff>
    </xdr:to>
    <xdr:graphicFrame macro="">
      <xdr:nvGraphicFramePr>
        <xdr:cNvPr id="45" name="Chart 44">
          <a:extLst>
            <a:ext uri="{FF2B5EF4-FFF2-40B4-BE49-F238E27FC236}">
              <a16:creationId xmlns:a16="http://schemas.microsoft.com/office/drawing/2014/main" id="{00000000-0008-0000-02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editAs="oneCell">
    <xdr:from>
      <xdr:col>0</xdr:col>
      <xdr:colOff>44823</xdr:colOff>
      <xdr:row>338</xdr:row>
      <xdr:rowOff>123265</xdr:rowOff>
    </xdr:from>
    <xdr:to>
      <xdr:col>6</xdr:col>
      <xdr:colOff>494766</xdr:colOff>
      <xdr:row>359</xdr:row>
      <xdr:rowOff>146125</xdr:rowOff>
    </xdr:to>
    <xdr:pic>
      <xdr:nvPicPr>
        <xdr:cNvPr id="47" name="Picture 46">
          <a:extLst>
            <a:ext uri="{FF2B5EF4-FFF2-40B4-BE49-F238E27FC236}">
              <a16:creationId xmlns:a16="http://schemas.microsoft.com/office/drawing/2014/main" id="{00000000-0008-0000-0200-00002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4823" y="68299853"/>
          <a:ext cx="5503796" cy="4258684"/>
        </a:xfrm>
        <a:prstGeom prst="rect">
          <a:avLst/>
        </a:prstGeom>
        <a:noFill/>
        <a:ln>
          <a:noFill/>
        </a:ln>
      </xdr:spPr>
    </xdr:pic>
    <xdr:clientData/>
  </xdr:twoCellAnchor>
  <xdr:twoCellAnchor>
    <xdr:from>
      <xdr:col>4</xdr:col>
      <xdr:colOff>674174</xdr:colOff>
      <xdr:row>360</xdr:row>
      <xdr:rowOff>197758</xdr:rowOff>
    </xdr:from>
    <xdr:to>
      <xdr:col>12</xdr:col>
      <xdr:colOff>896421</xdr:colOff>
      <xdr:row>371</xdr:row>
      <xdr:rowOff>127001</xdr:rowOff>
    </xdr:to>
    <xdr:graphicFrame macro="">
      <xdr:nvGraphicFramePr>
        <xdr:cNvPr id="48" name="Chart 47">
          <a:extLst>
            <a:ext uri="{FF2B5EF4-FFF2-40B4-BE49-F238E27FC236}">
              <a16:creationId xmlns:a16="http://schemas.microsoft.com/office/drawing/2014/main" id="{00000000-0008-0000-02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5</xdr:col>
      <xdr:colOff>558800</xdr:colOff>
      <xdr:row>100</xdr:row>
      <xdr:rowOff>6350</xdr:rowOff>
    </xdr:from>
    <xdr:to>
      <xdr:col>9</xdr:col>
      <xdr:colOff>552450</xdr:colOff>
      <xdr:row>121</xdr:row>
      <xdr:rowOff>0</xdr:rowOff>
    </xdr:to>
    <xdr:graphicFrame macro="">
      <xdr:nvGraphicFramePr>
        <xdr:cNvPr id="26" name="Chart 25">
          <a:extLst>
            <a:ext uri="{FF2B5EF4-FFF2-40B4-BE49-F238E27FC236}">
              <a16:creationId xmlns:a16="http://schemas.microsoft.com/office/drawing/2014/main" id="{00000000-0008-0000-02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18</xdr:col>
      <xdr:colOff>385884</xdr:colOff>
      <xdr:row>132</xdr:row>
      <xdr:rowOff>15630</xdr:rowOff>
    </xdr:from>
    <xdr:to>
      <xdr:col>26</xdr:col>
      <xdr:colOff>180730</xdr:colOff>
      <xdr:row>145</xdr:row>
      <xdr:rowOff>91830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27</xdr:col>
      <xdr:colOff>141653</xdr:colOff>
      <xdr:row>132</xdr:row>
      <xdr:rowOff>5861</xdr:rowOff>
    </xdr:from>
    <xdr:to>
      <xdr:col>35</xdr:col>
      <xdr:colOff>337038</xdr:colOff>
      <xdr:row>145</xdr:row>
      <xdr:rowOff>82061</xdr:rowOff>
    </xdr:to>
    <xdr:graphicFrame macro="">
      <xdr:nvGraphicFramePr>
        <xdr:cNvPr id="28" name="Chart 27">
          <a:extLst>
            <a:ext uri="{FF2B5EF4-FFF2-40B4-BE49-F238E27FC236}">
              <a16:creationId xmlns:a16="http://schemas.microsoft.com/office/drawing/2014/main" id="{00000000-0008-0000-02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427990</xdr:colOff>
      <xdr:row>11</xdr:row>
      <xdr:rowOff>102870</xdr:rowOff>
    </xdr:from>
    <xdr:to>
      <xdr:col>8</xdr:col>
      <xdr:colOff>535940</xdr:colOff>
      <xdr:row>41</xdr:row>
      <xdr:rowOff>5080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535940</xdr:colOff>
      <xdr:row>11</xdr:row>
      <xdr:rowOff>58420</xdr:rowOff>
    </xdr:from>
    <xdr:to>
      <xdr:col>19</xdr:col>
      <xdr:colOff>53340</xdr:colOff>
      <xdr:row>41</xdr:row>
      <xdr:rowOff>5080</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538480</xdr:colOff>
      <xdr:row>11</xdr:row>
      <xdr:rowOff>52070</xdr:rowOff>
    </xdr:from>
    <xdr:to>
      <xdr:col>29</xdr:col>
      <xdr:colOff>15240</xdr:colOff>
      <xdr:row>41</xdr:row>
      <xdr:rowOff>5080</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538479</xdr:colOff>
      <xdr:row>11</xdr:row>
      <xdr:rowOff>52070</xdr:rowOff>
    </xdr:from>
    <xdr:to>
      <xdr:col>40</xdr:col>
      <xdr:colOff>484909</xdr:colOff>
      <xdr:row>41</xdr:row>
      <xdr:rowOff>43180</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440315</xdr:colOff>
      <xdr:row>53</xdr:row>
      <xdr:rowOff>172173</xdr:rowOff>
    </xdr:from>
    <xdr:to>
      <xdr:col>9</xdr:col>
      <xdr:colOff>126</xdr:colOff>
      <xdr:row>83</xdr:row>
      <xdr:rowOff>60837</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5051</xdr:colOff>
      <xdr:row>53</xdr:row>
      <xdr:rowOff>158172</xdr:rowOff>
    </xdr:from>
    <xdr:to>
      <xdr:col>18</xdr:col>
      <xdr:colOff>541481</xdr:colOff>
      <xdr:row>83</xdr:row>
      <xdr:rowOff>79375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24694</xdr:colOff>
      <xdr:row>53</xdr:row>
      <xdr:rowOff>151223</xdr:rowOff>
    </xdr:from>
    <xdr:to>
      <xdr:col>29</xdr:col>
      <xdr:colOff>47037</xdr:colOff>
      <xdr:row>83</xdr:row>
      <xdr:rowOff>105832</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30</xdr:col>
      <xdr:colOff>48213</xdr:colOff>
      <xdr:row>53</xdr:row>
      <xdr:rowOff>139464</xdr:rowOff>
    </xdr:from>
    <xdr:to>
      <xdr:col>40</xdr:col>
      <xdr:colOff>334818</xdr:colOff>
      <xdr:row>83</xdr:row>
      <xdr:rowOff>94073</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5406</xdr:colOff>
      <xdr:row>100</xdr:row>
      <xdr:rowOff>0</xdr:rowOff>
    </xdr:from>
    <xdr:to>
      <xdr:col>5</xdr:col>
      <xdr:colOff>533399</xdr:colOff>
      <xdr:row>120</xdr:row>
      <xdr:rowOff>187719</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114300</xdr:colOff>
      <xdr:row>95</xdr:row>
      <xdr:rowOff>92428</xdr:rowOff>
    </xdr:from>
    <xdr:to>
      <xdr:col>19</xdr:col>
      <xdr:colOff>0</xdr:colOff>
      <xdr:row>117</xdr:row>
      <xdr:rowOff>188149</xdr:rowOff>
    </xdr:to>
    <xdr:graphicFrame macro="">
      <xdr:nvGraphicFramePr>
        <xdr:cNvPr id="11" name="Chart 10">
          <a:extLst>
            <a:ext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24695</xdr:colOff>
      <xdr:row>95</xdr:row>
      <xdr:rowOff>57149</xdr:rowOff>
    </xdr:from>
    <xdr:to>
      <xdr:col>29</xdr:col>
      <xdr:colOff>311727</xdr:colOff>
      <xdr:row>119</xdr:row>
      <xdr:rowOff>80817</xdr:rowOff>
    </xdr:to>
    <xdr:graphicFrame macro="">
      <xdr:nvGraphicFramePr>
        <xdr:cNvPr id="12" name="Chart 11">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45720</xdr:colOff>
      <xdr:row>95</xdr:row>
      <xdr:rowOff>35560</xdr:rowOff>
    </xdr:from>
    <xdr:to>
      <xdr:col>38</xdr:col>
      <xdr:colOff>762000</xdr:colOff>
      <xdr:row>117</xdr:row>
      <xdr:rowOff>172720</xdr:rowOff>
    </xdr:to>
    <xdr:graphicFrame macro="">
      <xdr:nvGraphicFramePr>
        <xdr:cNvPr id="13" name="Chart 12">
          <a:extLst>
            <a:ext uri="{FF2B5EF4-FFF2-40B4-BE49-F238E27FC236}">
              <a16:creationId xmlns:a16="http://schemas.microsoft.com/office/drawing/2014/main" id="{00000000-0008-0000-04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254000</xdr:colOff>
      <xdr:row>132</xdr:row>
      <xdr:rowOff>0</xdr:rowOff>
    </xdr:from>
    <xdr:to>
      <xdr:col>9</xdr:col>
      <xdr:colOff>111760</xdr:colOff>
      <xdr:row>154</xdr:row>
      <xdr:rowOff>111760</xdr:rowOff>
    </xdr:to>
    <xdr:graphicFrame macro="">
      <xdr:nvGraphicFramePr>
        <xdr:cNvPr id="14" name="Chart 13">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xdr:col>
      <xdr:colOff>40640</xdr:colOff>
      <xdr:row>132</xdr:row>
      <xdr:rowOff>25400</xdr:rowOff>
    </xdr:from>
    <xdr:to>
      <xdr:col>18</xdr:col>
      <xdr:colOff>802640</xdr:colOff>
      <xdr:row>154</xdr:row>
      <xdr:rowOff>121920</xdr:rowOff>
    </xdr:to>
    <xdr:graphicFrame macro="">
      <xdr:nvGraphicFramePr>
        <xdr:cNvPr id="15" name="Chart 14">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240937</xdr:colOff>
      <xdr:row>171</xdr:row>
      <xdr:rowOff>37739</xdr:rowOff>
    </xdr:from>
    <xdr:to>
      <xdr:col>9</xdr:col>
      <xdr:colOff>63137</xdr:colOff>
      <xdr:row>200</xdr:row>
      <xdr:rowOff>191589</xdr:rowOff>
    </xdr:to>
    <xdr:graphicFrame macro="">
      <xdr:nvGraphicFramePr>
        <xdr:cNvPr id="16" name="Chart 15">
          <a:extLst>
            <a:ext uri="{FF2B5EF4-FFF2-40B4-BE49-F238E27FC236}">
              <a16:creationId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10</xdr:col>
      <xdr:colOff>46808</xdr:colOff>
      <xdr:row>171</xdr:row>
      <xdr:rowOff>35561</xdr:rowOff>
    </xdr:from>
    <xdr:to>
      <xdr:col>18</xdr:col>
      <xdr:colOff>542108</xdr:colOff>
      <xdr:row>200</xdr:row>
      <xdr:rowOff>172720</xdr:rowOff>
    </xdr:to>
    <xdr:graphicFrame macro="">
      <xdr:nvGraphicFramePr>
        <xdr:cNvPr id="17" name="Chart 16">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19</xdr:col>
      <xdr:colOff>523239</xdr:colOff>
      <xdr:row>171</xdr:row>
      <xdr:rowOff>32295</xdr:rowOff>
    </xdr:from>
    <xdr:to>
      <xdr:col>28</xdr:col>
      <xdr:colOff>504734</xdr:colOff>
      <xdr:row>201</xdr:row>
      <xdr:rowOff>363</xdr:rowOff>
    </xdr:to>
    <xdr:graphicFrame macro="">
      <xdr:nvGraphicFramePr>
        <xdr:cNvPr id="18" name="Chart 17">
          <a:extLst>
            <a:ext uri="{FF2B5EF4-FFF2-40B4-BE49-F238E27FC236}">
              <a16:creationId xmlns:a16="http://schemas.microsoft.com/office/drawing/2014/main" id="{00000000-0008-0000-0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29</xdr:col>
      <xdr:colOff>540294</xdr:colOff>
      <xdr:row>171</xdr:row>
      <xdr:rowOff>42455</xdr:rowOff>
    </xdr:from>
    <xdr:to>
      <xdr:col>38</xdr:col>
      <xdr:colOff>537028</xdr:colOff>
      <xdr:row>201</xdr:row>
      <xdr:rowOff>10523</xdr:rowOff>
    </xdr:to>
    <xdr:graphicFrame macro="">
      <xdr:nvGraphicFramePr>
        <xdr:cNvPr id="19" name="Chart 18">
          <a:extLst>
            <a:ext uri="{FF2B5EF4-FFF2-40B4-BE49-F238E27FC236}">
              <a16:creationId xmlns:a16="http://schemas.microsoft.com/office/drawing/2014/main" id="{00000000-0008-0000-04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10</xdr:col>
      <xdr:colOff>40821</xdr:colOff>
      <xdr:row>213</xdr:row>
      <xdr:rowOff>166008</xdr:rowOff>
    </xdr:from>
    <xdr:to>
      <xdr:col>19</xdr:col>
      <xdr:colOff>10885</xdr:colOff>
      <xdr:row>237</xdr:row>
      <xdr:rowOff>58057</xdr:rowOff>
    </xdr:to>
    <xdr:graphicFrame macro="">
      <xdr:nvGraphicFramePr>
        <xdr:cNvPr id="20" name="Chart 19">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18143</xdr:colOff>
      <xdr:row>213</xdr:row>
      <xdr:rowOff>160565</xdr:rowOff>
    </xdr:from>
    <xdr:to>
      <xdr:col>9</xdr:col>
      <xdr:colOff>19957</xdr:colOff>
      <xdr:row>237</xdr:row>
      <xdr:rowOff>52614</xdr:rowOff>
    </xdr:to>
    <xdr:graphicFrame macro="">
      <xdr:nvGraphicFramePr>
        <xdr:cNvPr id="21" name="Chart 20">
          <a:extLst>
            <a:ext uri="{FF2B5EF4-FFF2-40B4-BE49-F238E27FC236}">
              <a16:creationId xmlns:a16="http://schemas.microsoft.com/office/drawing/2014/main" id="{00000000-0008-0000-04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xdr:col>
      <xdr:colOff>31750</xdr:colOff>
      <xdr:row>214</xdr:row>
      <xdr:rowOff>4536</xdr:rowOff>
    </xdr:from>
    <xdr:to>
      <xdr:col>29</xdr:col>
      <xdr:colOff>1814</xdr:colOff>
      <xdr:row>237</xdr:row>
      <xdr:rowOff>48986</xdr:rowOff>
    </xdr:to>
    <xdr:graphicFrame macro="">
      <xdr:nvGraphicFramePr>
        <xdr:cNvPr id="22" name="Chart 21">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30</xdr:col>
      <xdr:colOff>907</xdr:colOff>
      <xdr:row>214</xdr:row>
      <xdr:rowOff>22678</xdr:rowOff>
    </xdr:from>
    <xdr:to>
      <xdr:col>38</xdr:col>
      <xdr:colOff>527957</xdr:colOff>
      <xdr:row>237</xdr:row>
      <xdr:rowOff>54428</xdr:rowOff>
    </xdr:to>
    <xdr:graphicFrame macro="">
      <xdr:nvGraphicFramePr>
        <xdr:cNvPr id="23" name="Chart 22">
          <a:extLst>
            <a:ext uri="{FF2B5EF4-FFF2-40B4-BE49-F238E27FC236}">
              <a16:creationId xmlns:a16="http://schemas.microsoft.com/office/drawing/2014/main" id="{00000000-0008-0000-04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0</xdr:col>
      <xdr:colOff>0</xdr:colOff>
      <xdr:row>246</xdr:row>
      <xdr:rowOff>196850</xdr:rowOff>
    </xdr:from>
    <xdr:to>
      <xdr:col>8</xdr:col>
      <xdr:colOff>774700</xdr:colOff>
      <xdr:row>269</xdr:row>
      <xdr:rowOff>177800</xdr:rowOff>
    </xdr:to>
    <xdr:graphicFrame macro="">
      <xdr:nvGraphicFramePr>
        <xdr:cNvPr id="24" name="Chart 23">
          <a:extLst>
            <a:ext uri="{FF2B5EF4-FFF2-40B4-BE49-F238E27FC236}">
              <a16:creationId xmlns:a16="http://schemas.microsoft.com/office/drawing/2014/main" id="{00000000-0008-0000-0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9</xdr:col>
      <xdr:colOff>533399</xdr:colOff>
      <xdr:row>248</xdr:row>
      <xdr:rowOff>142423</xdr:rowOff>
    </xdr:from>
    <xdr:to>
      <xdr:col>18</xdr:col>
      <xdr:colOff>509814</xdr:colOff>
      <xdr:row>271</xdr:row>
      <xdr:rowOff>136072</xdr:rowOff>
    </xdr:to>
    <xdr:graphicFrame macro="">
      <xdr:nvGraphicFramePr>
        <xdr:cNvPr id="25" name="Chart 24">
          <a:extLst>
            <a:ext uri="{FF2B5EF4-FFF2-40B4-BE49-F238E27FC236}">
              <a16:creationId xmlns:a16="http://schemas.microsoft.com/office/drawing/2014/main" id="{00000000-0008-0000-04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0</xdr:col>
      <xdr:colOff>72270</xdr:colOff>
      <xdr:row>304</xdr:row>
      <xdr:rowOff>23284</xdr:rowOff>
    </xdr:from>
    <xdr:to>
      <xdr:col>9</xdr:col>
      <xdr:colOff>42333</xdr:colOff>
      <xdr:row>330</xdr:row>
      <xdr:rowOff>42333</xdr:rowOff>
    </xdr:to>
    <xdr:graphicFrame macro="">
      <xdr:nvGraphicFramePr>
        <xdr:cNvPr id="26" name="Chart 25">
          <a:extLst>
            <a:ext uri="{FF2B5EF4-FFF2-40B4-BE49-F238E27FC236}">
              <a16:creationId xmlns:a16="http://schemas.microsoft.com/office/drawing/2014/main" id="{00000000-0008-0000-04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editAs="oneCell">
    <xdr:from>
      <xdr:col>0</xdr:col>
      <xdr:colOff>28575</xdr:colOff>
      <xdr:row>338</xdr:row>
      <xdr:rowOff>104775</xdr:rowOff>
    </xdr:from>
    <xdr:to>
      <xdr:col>6</xdr:col>
      <xdr:colOff>478518</xdr:colOff>
      <xdr:row>359</xdr:row>
      <xdr:rowOff>127635</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28575" y="67713225"/>
          <a:ext cx="5507718" cy="4223385"/>
        </a:xfrm>
        <a:prstGeom prst="rect">
          <a:avLst/>
        </a:prstGeom>
        <a:noFill/>
        <a:ln>
          <a:noFill/>
        </a:ln>
      </xdr:spPr>
    </xdr:pic>
    <xdr:clientData/>
  </xdr:twoCellAnchor>
  <xdr:twoCellAnchor>
    <xdr:from>
      <xdr:col>4</xdr:col>
      <xdr:colOff>674174</xdr:colOff>
      <xdr:row>360</xdr:row>
      <xdr:rowOff>197758</xdr:rowOff>
    </xdr:from>
    <xdr:to>
      <xdr:col>12</xdr:col>
      <xdr:colOff>896421</xdr:colOff>
      <xdr:row>371</xdr:row>
      <xdr:rowOff>127001</xdr:rowOff>
    </xdr:to>
    <xdr:graphicFrame macro="">
      <xdr:nvGraphicFramePr>
        <xdr:cNvPr id="28" name="Chart 27">
          <a:extLst>
            <a:ext uri="{FF2B5EF4-FFF2-40B4-BE49-F238E27FC236}">
              <a16:creationId xmlns:a16="http://schemas.microsoft.com/office/drawing/2014/main" id="{00000000-0008-0000-04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5</xdr:col>
      <xdr:colOff>558800</xdr:colOff>
      <xdr:row>100</xdr:row>
      <xdr:rowOff>6350</xdr:rowOff>
    </xdr:from>
    <xdr:to>
      <xdr:col>9</xdr:col>
      <xdr:colOff>552450</xdr:colOff>
      <xdr:row>121</xdr:row>
      <xdr:rowOff>0</xdr:rowOff>
    </xdr:to>
    <xdr:graphicFrame macro="">
      <xdr:nvGraphicFramePr>
        <xdr:cNvPr id="29" name="Chart 28">
          <a:extLst>
            <a:ext uri="{FF2B5EF4-FFF2-40B4-BE49-F238E27FC236}">
              <a16:creationId xmlns:a16="http://schemas.microsoft.com/office/drawing/2014/main" id="{00000000-0008-0000-0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20</xdr:col>
      <xdr:colOff>0</xdr:colOff>
      <xdr:row>131</xdr:row>
      <xdr:rowOff>9769</xdr:rowOff>
    </xdr:from>
    <xdr:to>
      <xdr:col>27</xdr:col>
      <xdr:colOff>376804</xdr:colOff>
      <xdr:row>144</xdr:row>
      <xdr:rowOff>163663</xdr:rowOff>
    </xdr:to>
    <xdr:graphicFrame macro="">
      <xdr:nvGraphicFramePr>
        <xdr:cNvPr id="30" name="Chart 29">
          <a:extLst>
            <a:ext uri="{FF2B5EF4-FFF2-40B4-BE49-F238E27FC236}">
              <a16:creationId xmlns:a16="http://schemas.microsoft.com/office/drawing/2014/main" id="{00000000-0008-0000-04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xdr:col>
      <xdr:colOff>344451</xdr:colOff>
      <xdr:row>131</xdr:row>
      <xdr:rowOff>0</xdr:rowOff>
    </xdr:from>
    <xdr:to>
      <xdr:col>37</xdr:col>
      <xdr:colOff>47524</xdr:colOff>
      <xdr:row>144</xdr:row>
      <xdr:rowOff>153894</xdr:rowOff>
    </xdr:to>
    <xdr:graphicFrame macro="">
      <xdr:nvGraphicFramePr>
        <xdr:cNvPr id="31" name="Chart 30">
          <a:extLst>
            <a:ext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29</xdr:col>
      <xdr:colOff>176696</xdr:colOff>
      <xdr:row>0</xdr:row>
      <xdr:rowOff>88350</xdr:rowOff>
    </xdr:from>
    <xdr:to>
      <xdr:col>65</xdr:col>
      <xdr:colOff>0</xdr:colOff>
      <xdr:row>47</xdr:row>
      <xdr:rowOff>44175</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19</xdr:col>
          <xdr:colOff>9525</xdr:colOff>
          <xdr:row>4</xdr:row>
          <xdr:rowOff>38100</xdr:rowOff>
        </xdr:from>
        <xdr:to>
          <xdr:col>23</xdr:col>
          <xdr:colOff>66675</xdr:colOff>
          <xdr:row>7</xdr:row>
          <xdr:rowOff>0</xdr:rowOff>
        </xdr:to>
        <xdr:sp macro="" textlink="">
          <xdr:nvSpPr>
            <xdr:cNvPr id="23557" name="Button 5" descr="L-PSH Sensitivity" hidden="1">
              <a:extLst>
                <a:ext uri="{63B3BB69-23CF-44E3-9099-C40C66FF867C}">
                  <a14:compatExt spid="_x0000_s23557"/>
                </a:ext>
                <a:ext uri="{FF2B5EF4-FFF2-40B4-BE49-F238E27FC236}">
                  <a16:creationId xmlns:a16="http://schemas.microsoft.com/office/drawing/2014/main" id="{00000000-0008-0000-0800-000005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L-PSH SensitivityButton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66675</xdr:colOff>
          <xdr:row>37</xdr:row>
          <xdr:rowOff>0</xdr:rowOff>
        </xdr:from>
        <xdr:to>
          <xdr:col>23</xdr:col>
          <xdr:colOff>114300</xdr:colOff>
          <xdr:row>39</xdr:row>
          <xdr:rowOff>104775</xdr:rowOff>
        </xdr:to>
        <xdr:sp macro="" textlink="">
          <xdr:nvSpPr>
            <xdr:cNvPr id="23558" name="Button 6" descr="Run S-PSH Sensitivity" hidden="1">
              <a:extLst>
                <a:ext uri="{63B3BB69-23CF-44E3-9099-C40C66FF867C}">
                  <a14:compatExt spid="_x0000_s23558"/>
                </a:ext>
                <a:ext uri="{FF2B5EF4-FFF2-40B4-BE49-F238E27FC236}">
                  <a16:creationId xmlns:a16="http://schemas.microsoft.com/office/drawing/2014/main" id="{00000000-0008-0000-0800-000006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Run S-PSH SensitivityButton 6</a:t>
              </a:r>
            </a:p>
          </xdr:txBody>
        </xdr:sp>
        <xdr:clientData fPrintsWithSheet="0"/>
      </xdr:twoCellAnchor>
    </mc:Choice>
    <mc:Fallback/>
  </mc:AlternateContent>
  <xdr:twoCellAnchor>
    <xdr:from>
      <xdr:col>29</xdr:col>
      <xdr:colOff>0</xdr:colOff>
      <xdr:row>51</xdr:row>
      <xdr:rowOff>0</xdr:rowOff>
    </xdr:from>
    <xdr:to>
      <xdr:col>64</xdr:col>
      <xdr:colOff>187739</xdr:colOff>
      <xdr:row>84</xdr:row>
      <xdr:rowOff>165651</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A4677-9775-47FD-BA1D-EB2C759DF899}">
  <sheetPr codeName="Sheet1">
    <tabColor theme="7"/>
  </sheetPr>
  <dimension ref="A1:I159"/>
  <sheetViews>
    <sheetView tabSelected="1" zoomScale="130" zoomScaleNormal="130" workbookViewId="0">
      <pane xSplit="1" ySplit="3" topLeftCell="B4" activePane="bottomRight" state="frozen"/>
      <selection pane="bottomRight" activeCell="B2" sqref="B2"/>
      <selection pane="bottomLeft" activeCell="A2" sqref="A2"/>
      <selection pane="topRight" activeCell="B1" sqref="B1"/>
    </sheetView>
  </sheetViews>
  <sheetFormatPr defaultColWidth="8.6640625" defaultRowHeight="11.25"/>
  <cols>
    <col min="1" max="1" width="32.6640625" bestFit="1" customWidth="1"/>
    <col min="2" max="2" width="23" customWidth="1"/>
    <col min="3" max="3" width="140.1640625" style="88" customWidth="1"/>
    <col min="4" max="4" width="11.6640625" customWidth="1"/>
    <col min="5" max="6" width="14.1640625" customWidth="1"/>
    <col min="7" max="7" width="34.1640625" customWidth="1"/>
    <col min="8" max="8" width="43" bestFit="1" customWidth="1"/>
    <col min="9" max="9" width="30" bestFit="1" customWidth="1"/>
  </cols>
  <sheetData>
    <row r="1" spans="1:9">
      <c r="A1" s="138" t="s">
        <v>0</v>
      </c>
      <c r="B1" s="152" t="s">
        <v>1</v>
      </c>
    </row>
    <row r="3" spans="1:9" s="37" customFormat="1" ht="45">
      <c r="A3" s="37" t="s">
        <v>2</v>
      </c>
      <c r="B3" s="37" t="s">
        <v>3</v>
      </c>
      <c r="C3" s="37" t="s">
        <v>4</v>
      </c>
      <c r="D3" s="37" t="s">
        <v>5</v>
      </c>
      <c r="E3" s="37" t="s">
        <v>6</v>
      </c>
      <c r="F3" s="37" t="s">
        <v>7</v>
      </c>
      <c r="G3" s="37" t="s">
        <v>8</v>
      </c>
      <c r="H3" s="37" t="s">
        <v>9</v>
      </c>
      <c r="I3" s="37" t="s">
        <v>10</v>
      </c>
    </row>
    <row r="4" spans="1:9">
      <c r="A4" t="s">
        <v>11</v>
      </c>
      <c r="B4" t="s">
        <v>12</v>
      </c>
      <c r="C4" s="88" t="s">
        <v>13</v>
      </c>
      <c r="D4" t="s">
        <v>14</v>
      </c>
    </row>
    <row r="5" spans="1:9">
      <c r="A5" t="s">
        <v>15</v>
      </c>
      <c r="B5" t="s">
        <v>12</v>
      </c>
      <c r="C5" s="88" t="s">
        <v>16</v>
      </c>
      <c r="D5" t="s">
        <v>14</v>
      </c>
    </row>
    <row r="6" spans="1:9">
      <c r="A6" t="s">
        <v>17</v>
      </c>
      <c r="B6" t="s">
        <v>12</v>
      </c>
      <c r="C6" s="88" t="s">
        <v>18</v>
      </c>
      <c r="D6" t="s">
        <v>14</v>
      </c>
    </row>
    <row r="7" spans="1:9">
      <c r="A7" t="s">
        <v>19</v>
      </c>
      <c r="B7" t="s">
        <v>12</v>
      </c>
      <c r="C7" s="88" t="s">
        <v>20</v>
      </c>
      <c r="D7" t="s">
        <v>14</v>
      </c>
      <c r="H7" t="s">
        <v>21</v>
      </c>
    </row>
    <row r="8" spans="1:9">
      <c r="A8" t="s">
        <v>22</v>
      </c>
      <c r="B8" t="s">
        <v>12</v>
      </c>
      <c r="C8" s="88" t="s">
        <v>23</v>
      </c>
      <c r="D8" t="s">
        <v>14</v>
      </c>
      <c r="H8" t="s">
        <v>21</v>
      </c>
    </row>
    <row r="9" spans="1:9">
      <c r="A9" t="s">
        <v>24</v>
      </c>
      <c r="B9" t="s">
        <v>12</v>
      </c>
      <c r="C9" s="88" t="s">
        <v>25</v>
      </c>
      <c r="D9" t="s">
        <v>14</v>
      </c>
      <c r="I9" t="s">
        <v>26</v>
      </c>
    </row>
    <row r="10" spans="1:9">
      <c r="A10" t="s">
        <v>27</v>
      </c>
      <c r="B10" t="s">
        <v>12</v>
      </c>
      <c r="C10" s="88" t="s">
        <v>28</v>
      </c>
      <c r="D10" t="s">
        <v>14</v>
      </c>
      <c r="I10" t="s">
        <v>29</v>
      </c>
    </row>
    <row r="11" spans="1:9">
      <c r="A11" t="s">
        <v>30</v>
      </c>
      <c r="B11" t="s">
        <v>12</v>
      </c>
      <c r="C11" s="88" t="s">
        <v>31</v>
      </c>
      <c r="D11" t="s">
        <v>14</v>
      </c>
      <c r="I11" t="s">
        <v>32</v>
      </c>
    </row>
    <row r="12" spans="1:9">
      <c r="A12" t="s">
        <v>33</v>
      </c>
      <c r="B12" t="s">
        <v>12</v>
      </c>
      <c r="C12" s="88" t="s">
        <v>34</v>
      </c>
    </row>
    <row r="13" spans="1:9" ht="22.5">
      <c r="A13" t="s">
        <v>35</v>
      </c>
      <c r="B13" t="s">
        <v>36</v>
      </c>
      <c r="C13" s="88" t="s">
        <v>37</v>
      </c>
      <c r="D13" t="s">
        <v>38</v>
      </c>
      <c r="I13" t="s">
        <v>29</v>
      </c>
    </row>
    <row r="14" spans="1:9">
      <c r="A14" t="s">
        <v>39</v>
      </c>
      <c r="B14" t="s">
        <v>36</v>
      </c>
      <c r="C14" s="88" t="s">
        <v>40</v>
      </c>
      <c r="D14" t="s">
        <v>14</v>
      </c>
    </row>
    <row r="15" spans="1:9">
      <c r="A15" t="s">
        <v>41</v>
      </c>
      <c r="B15" t="s">
        <v>36</v>
      </c>
      <c r="C15" s="88" t="s">
        <v>42</v>
      </c>
      <c r="D15" t="s">
        <v>14</v>
      </c>
    </row>
    <row r="16" spans="1:9">
      <c r="A16" t="s">
        <v>43</v>
      </c>
      <c r="B16" t="s">
        <v>36</v>
      </c>
      <c r="C16" s="88" t="s">
        <v>44</v>
      </c>
      <c r="D16" t="s">
        <v>14</v>
      </c>
    </row>
    <row r="17" spans="1:8">
      <c r="A17" t="s">
        <v>45</v>
      </c>
      <c r="B17" t="s">
        <v>36</v>
      </c>
      <c r="C17" s="88" t="s">
        <v>46</v>
      </c>
      <c r="D17" t="s">
        <v>14</v>
      </c>
    </row>
    <row r="18" spans="1:8">
      <c r="A18" t="s">
        <v>47</v>
      </c>
      <c r="B18" t="s">
        <v>36</v>
      </c>
      <c r="C18" s="88" t="s">
        <v>48</v>
      </c>
      <c r="D18" t="s">
        <v>14</v>
      </c>
    </row>
    <row r="19" spans="1:8" ht="22.5">
      <c r="A19" t="s">
        <v>49</v>
      </c>
      <c r="B19" t="s">
        <v>36</v>
      </c>
      <c r="C19" s="88" t="s">
        <v>50</v>
      </c>
      <c r="D19" t="s">
        <v>14</v>
      </c>
    </row>
    <row r="20" spans="1:8">
      <c r="A20" t="s">
        <v>51</v>
      </c>
      <c r="B20" t="s">
        <v>36</v>
      </c>
      <c r="C20" s="88" t="s">
        <v>52</v>
      </c>
      <c r="D20" t="s">
        <v>14</v>
      </c>
    </row>
    <row r="21" spans="1:8">
      <c r="A21" t="s">
        <v>53</v>
      </c>
      <c r="B21" t="s">
        <v>36</v>
      </c>
      <c r="C21" s="88" t="s">
        <v>54</v>
      </c>
      <c r="D21" t="s">
        <v>14</v>
      </c>
    </row>
    <row r="22" spans="1:8">
      <c r="A22" t="s">
        <v>55</v>
      </c>
      <c r="B22" t="s">
        <v>36</v>
      </c>
      <c r="C22" s="88" t="s">
        <v>56</v>
      </c>
      <c r="D22" t="s">
        <v>14</v>
      </c>
    </row>
    <row r="23" spans="1:8">
      <c r="A23" t="s">
        <v>57</v>
      </c>
      <c r="B23" t="s">
        <v>36</v>
      </c>
      <c r="C23" s="88" t="s">
        <v>58</v>
      </c>
      <c r="D23" t="s">
        <v>14</v>
      </c>
    </row>
    <row r="24" spans="1:8">
      <c r="A24" t="s">
        <v>59</v>
      </c>
      <c r="B24" t="s">
        <v>36</v>
      </c>
      <c r="C24" s="88" t="s">
        <v>60</v>
      </c>
      <c r="D24" t="s">
        <v>14</v>
      </c>
      <c r="H24" t="s">
        <v>61</v>
      </c>
    </row>
    <row r="25" spans="1:8" ht="22.5">
      <c r="A25" t="s">
        <v>62</v>
      </c>
      <c r="B25" t="s">
        <v>36</v>
      </c>
      <c r="C25" s="88" t="s">
        <v>63</v>
      </c>
      <c r="D25" t="s">
        <v>14</v>
      </c>
    </row>
    <row r="26" spans="1:8">
      <c r="A26" t="s">
        <v>64</v>
      </c>
      <c r="B26" t="s">
        <v>36</v>
      </c>
      <c r="C26" s="88" t="s">
        <v>65</v>
      </c>
      <c r="D26" t="s">
        <v>14</v>
      </c>
    </row>
    <row r="27" spans="1:8">
      <c r="A27" t="s">
        <v>66</v>
      </c>
      <c r="B27" t="s">
        <v>36</v>
      </c>
      <c r="C27" s="88" t="s">
        <v>67</v>
      </c>
      <c r="D27" t="s">
        <v>14</v>
      </c>
    </row>
    <row r="28" spans="1:8">
      <c r="A28" t="s">
        <v>68</v>
      </c>
      <c r="B28" t="s">
        <v>36</v>
      </c>
      <c r="C28" s="88" t="s">
        <v>69</v>
      </c>
      <c r="D28" t="s">
        <v>14</v>
      </c>
    </row>
    <row r="29" spans="1:8">
      <c r="A29" t="s">
        <v>70</v>
      </c>
      <c r="B29" t="s">
        <v>36</v>
      </c>
      <c r="C29" s="88" t="s">
        <v>71</v>
      </c>
      <c r="D29" t="s">
        <v>14</v>
      </c>
    </row>
    <row r="30" spans="1:8">
      <c r="A30" t="s">
        <v>72</v>
      </c>
      <c r="B30" t="s">
        <v>36</v>
      </c>
      <c r="C30" s="88" t="s">
        <v>73</v>
      </c>
      <c r="D30" t="s">
        <v>14</v>
      </c>
    </row>
    <row r="31" spans="1:8">
      <c r="A31" t="s">
        <v>74</v>
      </c>
      <c r="B31" t="s">
        <v>36</v>
      </c>
      <c r="C31" s="88" t="s">
        <v>75</v>
      </c>
      <c r="D31" t="s">
        <v>14</v>
      </c>
    </row>
    <row r="32" spans="1:8">
      <c r="A32" t="s">
        <v>76</v>
      </c>
      <c r="B32" t="s">
        <v>36</v>
      </c>
      <c r="C32" s="88" t="s">
        <v>77</v>
      </c>
      <c r="D32" t="s">
        <v>14</v>
      </c>
    </row>
    <row r="33" spans="1:9">
      <c r="A33" t="s">
        <v>78</v>
      </c>
      <c r="B33" t="s">
        <v>36</v>
      </c>
      <c r="C33" s="88" t="s">
        <v>79</v>
      </c>
      <c r="D33" t="s">
        <v>14</v>
      </c>
    </row>
    <row r="34" spans="1:9" ht="22.5">
      <c r="A34" t="s">
        <v>80</v>
      </c>
      <c r="B34" t="s">
        <v>36</v>
      </c>
      <c r="C34" s="88" t="s">
        <v>81</v>
      </c>
      <c r="D34" t="s">
        <v>38</v>
      </c>
    </row>
    <row r="35" spans="1:9">
      <c r="A35" t="s">
        <v>82</v>
      </c>
      <c r="B35" t="s">
        <v>36</v>
      </c>
      <c r="C35" s="88" t="s">
        <v>83</v>
      </c>
      <c r="D35" t="s">
        <v>38</v>
      </c>
    </row>
    <row r="36" spans="1:9">
      <c r="A36" t="s">
        <v>84</v>
      </c>
      <c r="B36" t="s">
        <v>36</v>
      </c>
      <c r="C36" s="88" t="s">
        <v>85</v>
      </c>
      <c r="D36" t="s">
        <v>38</v>
      </c>
    </row>
    <row r="37" spans="1:9">
      <c r="A37" t="s">
        <v>86</v>
      </c>
      <c r="B37" t="s">
        <v>36</v>
      </c>
      <c r="C37" s="88" t="s">
        <v>87</v>
      </c>
      <c r="D37" t="s">
        <v>38</v>
      </c>
    </row>
    <row r="38" spans="1:9">
      <c r="A38" t="s">
        <v>88</v>
      </c>
      <c r="B38" t="s">
        <v>36</v>
      </c>
      <c r="C38" s="88" t="s">
        <v>89</v>
      </c>
      <c r="D38" t="s">
        <v>14</v>
      </c>
      <c r="H38" t="s">
        <v>90</v>
      </c>
    </row>
    <row r="39" spans="1:9">
      <c r="A39" t="s">
        <v>91</v>
      </c>
      <c r="B39" t="s">
        <v>36</v>
      </c>
      <c r="C39" s="88" t="s">
        <v>92</v>
      </c>
      <c r="D39" t="s">
        <v>14</v>
      </c>
      <c r="H39" t="s">
        <v>93</v>
      </c>
    </row>
    <row r="40" spans="1:9">
      <c r="A40" t="s">
        <v>94</v>
      </c>
      <c r="B40" t="s">
        <v>36</v>
      </c>
      <c r="C40" s="88" t="s">
        <v>95</v>
      </c>
      <c r="D40" t="s">
        <v>38</v>
      </c>
    </row>
    <row r="41" spans="1:9" ht="22.5">
      <c r="A41" s="90" t="s">
        <v>96</v>
      </c>
      <c r="B41" t="s">
        <v>36</v>
      </c>
      <c r="C41" s="88" t="s">
        <v>97</v>
      </c>
      <c r="D41" t="s">
        <v>14</v>
      </c>
    </row>
    <row r="42" spans="1:9" ht="22.5">
      <c r="A42" t="s">
        <v>98</v>
      </c>
      <c r="B42" t="s">
        <v>36</v>
      </c>
      <c r="C42" s="88" t="s">
        <v>99</v>
      </c>
      <c r="D42" t="s">
        <v>38</v>
      </c>
      <c r="I42" t="s">
        <v>100</v>
      </c>
    </row>
    <row r="43" spans="1:9">
      <c r="A43" t="s">
        <v>101</v>
      </c>
      <c r="B43" t="s">
        <v>36</v>
      </c>
      <c r="C43" s="88" t="s">
        <v>102</v>
      </c>
      <c r="D43" t="s">
        <v>38</v>
      </c>
      <c r="I43" t="s">
        <v>103</v>
      </c>
    </row>
    <row r="44" spans="1:9">
      <c r="A44" t="s">
        <v>104</v>
      </c>
      <c r="B44" t="s">
        <v>36</v>
      </c>
      <c r="C44" s="88" t="s">
        <v>105</v>
      </c>
      <c r="D44" t="s">
        <v>38</v>
      </c>
    </row>
    <row r="45" spans="1:9">
      <c r="A45" t="s">
        <v>106</v>
      </c>
      <c r="B45" t="s">
        <v>36</v>
      </c>
      <c r="C45" s="88" t="s">
        <v>107</v>
      </c>
      <c r="D45" t="s">
        <v>38</v>
      </c>
      <c r="I45" t="s">
        <v>108</v>
      </c>
    </row>
    <row r="46" spans="1:9">
      <c r="A46" t="s">
        <v>109</v>
      </c>
      <c r="B46" t="s">
        <v>36</v>
      </c>
      <c r="C46" s="88" t="s">
        <v>110</v>
      </c>
      <c r="D46" t="s">
        <v>38</v>
      </c>
      <c r="I46" t="s">
        <v>111</v>
      </c>
    </row>
    <row r="47" spans="1:9">
      <c r="A47" t="s">
        <v>112</v>
      </c>
      <c r="B47" t="s">
        <v>36</v>
      </c>
      <c r="C47" s="88" t="s">
        <v>113</v>
      </c>
      <c r="D47" t="s">
        <v>38</v>
      </c>
    </row>
    <row r="48" spans="1:9">
      <c r="A48" t="s">
        <v>114</v>
      </c>
      <c r="B48" t="s">
        <v>36</v>
      </c>
      <c r="C48" s="88" t="s">
        <v>115</v>
      </c>
      <c r="D48" t="s">
        <v>14</v>
      </c>
    </row>
    <row r="49" spans="1:8">
      <c r="A49" t="s">
        <v>116</v>
      </c>
      <c r="B49" t="s">
        <v>36</v>
      </c>
      <c r="C49" s="88" t="s">
        <v>117</v>
      </c>
      <c r="D49" t="s">
        <v>14</v>
      </c>
    </row>
    <row r="50" spans="1:8">
      <c r="A50" t="s">
        <v>118</v>
      </c>
      <c r="B50" t="s">
        <v>36</v>
      </c>
      <c r="C50" s="88" t="s">
        <v>119</v>
      </c>
      <c r="D50" t="s">
        <v>14</v>
      </c>
    </row>
    <row r="51" spans="1:8">
      <c r="A51" t="s">
        <v>120</v>
      </c>
      <c r="B51" t="s">
        <v>36</v>
      </c>
      <c r="C51" s="88" t="s">
        <v>121</v>
      </c>
      <c r="D51" t="s">
        <v>14</v>
      </c>
    </row>
    <row r="52" spans="1:8">
      <c r="A52" t="s">
        <v>122</v>
      </c>
      <c r="B52" t="s">
        <v>36</v>
      </c>
      <c r="C52" s="88" t="s">
        <v>123</v>
      </c>
      <c r="D52" t="s">
        <v>14</v>
      </c>
    </row>
    <row r="53" spans="1:8">
      <c r="A53" t="s">
        <v>124</v>
      </c>
      <c r="B53" t="s">
        <v>36</v>
      </c>
      <c r="C53" s="88" t="s">
        <v>125</v>
      </c>
      <c r="D53" t="s">
        <v>14</v>
      </c>
    </row>
    <row r="54" spans="1:8">
      <c r="A54" t="s">
        <v>126</v>
      </c>
      <c r="B54" t="s">
        <v>36</v>
      </c>
      <c r="C54" s="88" t="s">
        <v>127</v>
      </c>
      <c r="D54" t="s">
        <v>14</v>
      </c>
    </row>
    <row r="55" spans="1:8">
      <c r="A55" t="s">
        <v>128</v>
      </c>
      <c r="B55" t="s">
        <v>36</v>
      </c>
      <c r="C55" s="88" t="s">
        <v>129</v>
      </c>
      <c r="D55" t="s">
        <v>14</v>
      </c>
    </row>
    <row r="56" spans="1:8">
      <c r="A56" t="s">
        <v>130</v>
      </c>
      <c r="B56" t="s">
        <v>36</v>
      </c>
      <c r="C56" s="88" t="s">
        <v>131</v>
      </c>
      <c r="D56" t="s">
        <v>14</v>
      </c>
    </row>
    <row r="57" spans="1:8">
      <c r="A57" t="s">
        <v>132</v>
      </c>
      <c r="B57" t="s">
        <v>36</v>
      </c>
      <c r="C57" s="88" t="s">
        <v>133</v>
      </c>
      <c r="D57" t="s">
        <v>14</v>
      </c>
    </row>
    <row r="58" spans="1:8">
      <c r="A58" t="s">
        <v>134</v>
      </c>
      <c r="B58" t="s">
        <v>36</v>
      </c>
      <c r="C58" s="88" t="s">
        <v>135</v>
      </c>
      <c r="D58" t="s">
        <v>38</v>
      </c>
    </row>
    <row r="59" spans="1:8">
      <c r="A59" t="s">
        <v>136</v>
      </c>
      <c r="B59" t="s">
        <v>36</v>
      </c>
      <c r="C59" s="88" t="s">
        <v>137</v>
      </c>
      <c r="D59" t="s">
        <v>38</v>
      </c>
    </row>
    <row r="60" spans="1:8">
      <c r="A60" t="s">
        <v>138</v>
      </c>
      <c r="B60" t="s">
        <v>36</v>
      </c>
      <c r="C60" s="88" t="s">
        <v>139</v>
      </c>
      <c r="D60" t="s">
        <v>14</v>
      </c>
    </row>
    <row r="61" spans="1:8">
      <c r="A61" t="s">
        <v>140</v>
      </c>
      <c r="B61" t="s">
        <v>36</v>
      </c>
      <c r="C61" s="88" t="s">
        <v>141</v>
      </c>
      <c r="D61" t="s">
        <v>14</v>
      </c>
    </row>
    <row r="62" spans="1:8">
      <c r="A62" t="s">
        <v>142</v>
      </c>
      <c r="B62" t="s">
        <v>36</v>
      </c>
      <c r="C62" s="88" t="s">
        <v>143</v>
      </c>
      <c r="D62" t="s">
        <v>14</v>
      </c>
    </row>
    <row r="63" spans="1:8" ht="22.5">
      <c r="A63" t="s">
        <v>144</v>
      </c>
      <c r="B63" t="s">
        <v>36</v>
      </c>
      <c r="C63" s="88" t="s">
        <v>145</v>
      </c>
      <c r="D63" t="s">
        <v>14</v>
      </c>
      <c r="H63" t="s">
        <v>146</v>
      </c>
    </row>
    <row r="64" spans="1:8">
      <c r="A64" t="s">
        <v>147</v>
      </c>
      <c r="B64" t="s">
        <v>36</v>
      </c>
      <c r="C64" s="88" t="s">
        <v>148</v>
      </c>
      <c r="D64" t="s">
        <v>14</v>
      </c>
      <c r="H64" t="s">
        <v>149</v>
      </c>
    </row>
    <row r="65" spans="1:9">
      <c r="A65" t="s">
        <v>150</v>
      </c>
      <c r="B65" t="s">
        <v>36</v>
      </c>
      <c r="C65" s="88" t="s">
        <v>151</v>
      </c>
      <c r="D65" t="s">
        <v>14</v>
      </c>
    </row>
    <row r="66" spans="1:9">
      <c r="A66" t="s">
        <v>152</v>
      </c>
      <c r="B66" t="s">
        <v>36</v>
      </c>
      <c r="C66" s="88" t="s">
        <v>153</v>
      </c>
      <c r="D66" t="s">
        <v>14</v>
      </c>
    </row>
    <row r="67" spans="1:9">
      <c r="A67" t="s">
        <v>154</v>
      </c>
      <c r="B67" t="s">
        <v>36</v>
      </c>
      <c r="C67" s="88" t="s">
        <v>155</v>
      </c>
      <c r="D67" t="s">
        <v>14</v>
      </c>
    </row>
    <row r="68" spans="1:9">
      <c r="A68" t="s">
        <v>156</v>
      </c>
      <c r="B68" t="s">
        <v>36</v>
      </c>
      <c r="C68" s="88" t="s">
        <v>157</v>
      </c>
      <c r="D68" t="s">
        <v>14</v>
      </c>
      <c r="H68" t="s">
        <v>158</v>
      </c>
    </row>
    <row r="69" spans="1:9">
      <c r="A69" t="s">
        <v>159</v>
      </c>
      <c r="B69" t="s">
        <v>160</v>
      </c>
      <c r="C69" s="88" t="s">
        <v>161</v>
      </c>
      <c r="D69" t="s">
        <v>14</v>
      </c>
    </row>
    <row r="70" spans="1:9">
      <c r="A70" t="s">
        <v>162</v>
      </c>
      <c r="B70" t="s">
        <v>160</v>
      </c>
      <c r="C70" s="88" t="s">
        <v>163</v>
      </c>
      <c r="D70" t="s">
        <v>14</v>
      </c>
    </row>
    <row r="71" spans="1:9">
      <c r="A71" t="s">
        <v>164</v>
      </c>
      <c r="B71" t="s">
        <v>160</v>
      </c>
      <c r="C71" s="88" t="s">
        <v>165</v>
      </c>
      <c r="D71" t="s">
        <v>14</v>
      </c>
    </row>
    <row r="72" spans="1:9">
      <c r="A72" t="s">
        <v>166</v>
      </c>
      <c r="B72" t="s">
        <v>160</v>
      </c>
      <c r="C72" s="88" t="s">
        <v>167</v>
      </c>
      <c r="D72" t="s">
        <v>14</v>
      </c>
      <c r="I72" t="s">
        <v>168</v>
      </c>
    </row>
    <row r="73" spans="1:9">
      <c r="A73" t="s">
        <v>169</v>
      </c>
      <c r="B73" t="s">
        <v>160</v>
      </c>
      <c r="C73" s="88" t="s">
        <v>170</v>
      </c>
      <c r="D73" t="s">
        <v>14</v>
      </c>
      <c r="I73" t="s">
        <v>168</v>
      </c>
    </row>
    <row r="74" spans="1:9">
      <c r="A74" t="s">
        <v>138</v>
      </c>
      <c r="B74" t="s">
        <v>160</v>
      </c>
      <c r="C74" s="88" t="s">
        <v>171</v>
      </c>
      <c r="D74" t="s">
        <v>14</v>
      </c>
    </row>
    <row r="75" spans="1:9">
      <c r="A75" t="s">
        <v>172</v>
      </c>
      <c r="B75" t="s">
        <v>160</v>
      </c>
      <c r="C75" s="88" t="s">
        <v>173</v>
      </c>
      <c r="D75" t="s">
        <v>14</v>
      </c>
    </row>
    <row r="76" spans="1:9" ht="22.5">
      <c r="A76" t="s">
        <v>174</v>
      </c>
      <c r="B76" t="s">
        <v>160</v>
      </c>
      <c r="C76" s="88" t="s">
        <v>175</v>
      </c>
      <c r="D76" t="s">
        <v>14</v>
      </c>
    </row>
    <row r="77" spans="1:9">
      <c r="A77" t="s">
        <v>176</v>
      </c>
      <c r="B77" t="s">
        <v>160</v>
      </c>
      <c r="C77" s="88" t="s">
        <v>177</v>
      </c>
      <c r="D77" t="s">
        <v>14</v>
      </c>
    </row>
    <row r="78" spans="1:9">
      <c r="A78" t="s">
        <v>178</v>
      </c>
      <c r="B78" t="s">
        <v>160</v>
      </c>
      <c r="C78" s="88" t="s">
        <v>179</v>
      </c>
      <c r="D78" t="s">
        <v>14</v>
      </c>
    </row>
    <row r="79" spans="1:9" ht="22.5">
      <c r="A79" t="s">
        <v>180</v>
      </c>
      <c r="B79" t="s">
        <v>160</v>
      </c>
      <c r="C79" s="89" t="s">
        <v>181</v>
      </c>
      <c r="D79" t="s">
        <v>14</v>
      </c>
    </row>
    <row r="80" spans="1:9" ht="22.5">
      <c r="A80" t="s">
        <v>182</v>
      </c>
      <c r="B80" t="s">
        <v>160</v>
      </c>
      <c r="C80" s="89" t="s">
        <v>183</v>
      </c>
      <c r="D80" t="s">
        <v>14</v>
      </c>
    </row>
    <row r="81" spans="1:9">
      <c r="A81" t="s">
        <v>184</v>
      </c>
      <c r="B81" t="s">
        <v>160</v>
      </c>
      <c r="C81" s="89" t="s">
        <v>185</v>
      </c>
      <c r="D81" t="s">
        <v>14</v>
      </c>
      <c r="I81" t="s">
        <v>186</v>
      </c>
    </row>
    <row r="82" spans="1:9">
      <c r="A82" t="s">
        <v>187</v>
      </c>
      <c r="B82" t="s">
        <v>160</v>
      </c>
      <c r="C82" s="89" t="s">
        <v>188</v>
      </c>
      <c r="D82" t="s">
        <v>14</v>
      </c>
      <c r="I82" t="s">
        <v>186</v>
      </c>
    </row>
    <row r="83" spans="1:9">
      <c r="A83" t="s">
        <v>189</v>
      </c>
      <c r="B83" t="s">
        <v>160</v>
      </c>
      <c r="C83" s="89" t="s">
        <v>190</v>
      </c>
      <c r="D83" t="s">
        <v>14</v>
      </c>
      <c r="I83" t="s">
        <v>186</v>
      </c>
    </row>
    <row r="84" spans="1:9">
      <c r="A84" t="s">
        <v>191</v>
      </c>
      <c r="B84" t="s">
        <v>160</v>
      </c>
      <c r="C84" s="88" t="s">
        <v>192</v>
      </c>
      <c r="D84" t="s">
        <v>14</v>
      </c>
    </row>
    <row r="85" spans="1:9">
      <c r="A85" t="s">
        <v>193</v>
      </c>
      <c r="B85" t="s">
        <v>160</v>
      </c>
      <c r="C85" s="88" t="s">
        <v>194</v>
      </c>
      <c r="D85" t="s">
        <v>14</v>
      </c>
      <c r="I85" t="s">
        <v>195</v>
      </c>
    </row>
    <row r="86" spans="1:9">
      <c r="A86" t="s">
        <v>196</v>
      </c>
      <c r="B86" t="s">
        <v>160</v>
      </c>
      <c r="C86" s="89" t="s">
        <v>197</v>
      </c>
      <c r="D86" t="s">
        <v>14</v>
      </c>
    </row>
    <row r="87" spans="1:9">
      <c r="A87" t="s">
        <v>198</v>
      </c>
      <c r="B87" t="s">
        <v>160</v>
      </c>
      <c r="C87" s="89" t="s">
        <v>199</v>
      </c>
      <c r="D87" t="s">
        <v>14</v>
      </c>
    </row>
    <row r="88" spans="1:9">
      <c r="A88" t="s">
        <v>200</v>
      </c>
      <c r="B88" t="s">
        <v>160</v>
      </c>
      <c r="C88" s="89" t="s">
        <v>201</v>
      </c>
      <c r="D88" t="s">
        <v>14</v>
      </c>
    </row>
    <row r="89" spans="1:9">
      <c r="A89" t="s">
        <v>202</v>
      </c>
      <c r="B89" t="s">
        <v>160</v>
      </c>
      <c r="C89" s="88" t="s">
        <v>203</v>
      </c>
      <c r="D89" t="s">
        <v>14</v>
      </c>
    </row>
    <row r="90" spans="1:9">
      <c r="A90" t="s">
        <v>204</v>
      </c>
      <c r="B90" t="s">
        <v>160</v>
      </c>
      <c r="C90" s="88" t="s">
        <v>205</v>
      </c>
      <c r="D90" t="s">
        <v>14</v>
      </c>
    </row>
    <row r="91" spans="1:9">
      <c r="A91" t="s">
        <v>206</v>
      </c>
      <c r="B91" t="s">
        <v>160</v>
      </c>
      <c r="C91" s="88" t="s">
        <v>207</v>
      </c>
      <c r="D91" t="s">
        <v>14</v>
      </c>
    </row>
    <row r="92" spans="1:9" ht="22.5">
      <c r="A92" t="s">
        <v>208</v>
      </c>
      <c r="B92" t="s">
        <v>160</v>
      </c>
      <c r="C92" s="89" t="s">
        <v>209</v>
      </c>
      <c r="D92" t="s">
        <v>14</v>
      </c>
    </row>
    <row r="93" spans="1:9">
      <c r="A93" t="s">
        <v>210</v>
      </c>
      <c r="B93" t="s">
        <v>160</v>
      </c>
      <c r="C93" s="89" t="s">
        <v>211</v>
      </c>
      <c r="D93" t="s">
        <v>14</v>
      </c>
    </row>
    <row r="94" spans="1:9" ht="22.5">
      <c r="A94" t="s">
        <v>212</v>
      </c>
      <c r="B94" t="s">
        <v>160</v>
      </c>
      <c r="C94" s="89" t="s">
        <v>213</v>
      </c>
      <c r="D94" t="s">
        <v>14</v>
      </c>
    </row>
    <row r="95" spans="1:9" ht="22.5">
      <c r="A95" t="s">
        <v>214</v>
      </c>
      <c r="B95" t="s">
        <v>160</v>
      </c>
      <c r="C95" s="88" t="s">
        <v>215</v>
      </c>
      <c r="D95" t="s">
        <v>14</v>
      </c>
    </row>
    <row r="96" spans="1:9">
      <c r="A96" t="s">
        <v>216</v>
      </c>
      <c r="B96" t="s">
        <v>160</v>
      </c>
      <c r="C96" s="88" t="s">
        <v>217</v>
      </c>
      <c r="D96" t="s">
        <v>14</v>
      </c>
    </row>
    <row r="97" spans="1:9">
      <c r="A97" s="136" t="s">
        <v>218</v>
      </c>
      <c r="B97" t="s">
        <v>160</v>
      </c>
      <c r="C97" s="88" t="s">
        <v>219</v>
      </c>
      <c r="D97" t="s">
        <v>14</v>
      </c>
      <c r="I97" t="s">
        <v>220</v>
      </c>
    </row>
    <row r="98" spans="1:9">
      <c r="A98" s="136" t="s">
        <v>221</v>
      </c>
      <c r="B98" t="s">
        <v>160</v>
      </c>
      <c r="C98" s="88" t="s">
        <v>222</v>
      </c>
      <c r="D98" t="s">
        <v>14</v>
      </c>
      <c r="I98" t="s">
        <v>223</v>
      </c>
    </row>
    <row r="99" spans="1:9">
      <c r="A99" t="s">
        <v>224</v>
      </c>
      <c r="B99" t="s">
        <v>160</v>
      </c>
      <c r="C99" s="89" t="s">
        <v>225</v>
      </c>
      <c r="D99" t="s">
        <v>14</v>
      </c>
    </row>
    <row r="100" spans="1:9">
      <c r="A100" s="136" t="s">
        <v>226</v>
      </c>
      <c r="B100" t="s">
        <v>160</v>
      </c>
      <c r="C100" s="89" t="s">
        <v>227</v>
      </c>
      <c r="D100" t="s">
        <v>14</v>
      </c>
    </row>
    <row r="101" spans="1:9">
      <c r="A101" t="s">
        <v>156</v>
      </c>
      <c r="B101" t="s">
        <v>160</v>
      </c>
      <c r="C101" s="88" t="s">
        <v>228</v>
      </c>
      <c r="D101" t="s">
        <v>14</v>
      </c>
    </row>
    <row r="102" spans="1:9">
      <c r="A102" t="s">
        <v>229</v>
      </c>
      <c r="B102" t="s">
        <v>160</v>
      </c>
      <c r="C102" s="88" t="s">
        <v>230</v>
      </c>
      <c r="D102" t="s">
        <v>14</v>
      </c>
    </row>
    <row r="103" spans="1:9">
      <c r="A103" t="s">
        <v>231</v>
      </c>
      <c r="B103" t="s">
        <v>160</v>
      </c>
      <c r="C103" s="89" t="s">
        <v>232</v>
      </c>
      <c r="D103" t="s">
        <v>14</v>
      </c>
    </row>
    <row r="104" spans="1:9">
      <c r="A104" t="s">
        <v>233</v>
      </c>
      <c r="B104" t="s">
        <v>160</v>
      </c>
      <c r="C104" s="88" t="s">
        <v>234</v>
      </c>
      <c r="D104" t="s">
        <v>14</v>
      </c>
    </row>
    <row r="105" spans="1:9">
      <c r="A105" t="s">
        <v>235</v>
      </c>
      <c r="B105" t="s">
        <v>160</v>
      </c>
      <c r="C105" s="89" t="s">
        <v>236</v>
      </c>
      <c r="D105" t="s">
        <v>14</v>
      </c>
    </row>
    <row r="106" spans="1:9">
      <c r="A106" t="s">
        <v>237</v>
      </c>
      <c r="B106" t="s">
        <v>160</v>
      </c>
      <c r="C106" s="88" t="s">
        <v>238</v>
      </c>
      <c r="D106" t="s">
        <v>14</v>
      </c>
      <c r="I106" t="s">
        <v>239</v>
      </c>
    </row>
    <row r="107" spans="1:9">
      <c r="A107" t="s">
        <v>240</v>
      </c>
      <c r="B107" t="s">
        <v>160</v>
      </c>
      <c r="C107" s="88" t="s">
        <v>241</v>
      </c>
      <c r="D107" t="s">
        <v>14</v>
      </c>
      <c r="I107" t="s">
        <v>239</v>
      </c>
    </row>
    <row r="108" spans="1:9">
      <c r="A108" t="s">
        <v>242</v>
      </c>
      <c r="B108" t="s">
        <v>243</v>
      </c>
      <c r="C108" s="88" t="s">
        <v>244</v>
      </c>
      <c r="D108" t="s">
        <v>14</v>
      </c>
    </row>
    <row r="109" spans="1:9">
      <c r="A109" t="s">
        <v>245</v>
      </c>
      <c r="B109" t="s">
        <v>243</v>
      </c>
      <c r="C109" s="88" t="s">
        <v>246</v>
      </c>
      <c r="D109" t="s">
        <v>14</v>
      </c>
    </row>
    <row r="110" spans="1:9">
      <c r="A110" t="s">
        <v>247</v>
      </c>
      <c r="B110" t="s">
        <v>243</v>
      </c>
      <c r="C110" s="88" t="s">
        <v>248</v>
      </c>
      <c r="D110" t="s">
        <v>14</v>
      </c>
    </row>
    <row r="111" spans="1:9">
      <c r="A111" t="s">
        <v>249</v>
      </c>
      <c r="B111" t="s">
        <v>243</v>
      </c>
      <c r="C111" s="88" t="s">
        <v>250</v>
      </c>
      <c r="D111" t="s">
        <v>14</v>
      </c>
    </row>
    <row r="112" spans="1:9">
      <c r="A112" t="s">
        <v>251</v>
      </c>
      <c r="B112" t="s">
        <v>243</v>
      </c>
      <c r="C112" s="88" t="s">
        <v>252</v>
      </c>
      <c r="D112" t="s">
        <v>14</v>
      </c>
      <c r="H112" t="s">
        <v>253</v>
      </c>
      <c r="I112" t="s">
        <v>29</v>
      </c>
    </row>
    <row r="113" spans="1:9" ht="22.5">
      <c r="A113" t="s">
        <v>254</v>
      </c>
      <c r="B113" t="s">
        <v>243</v>
      </c>
      <c r="C113" s="88" t="s">
        <v>255</v>
      </c>
      <c r="D113" t="s">
        <v>14</v>
      </c>
      <c r="I113" t="s">
        <v>256</v>
      </c>
    </row>
    <row r="114" spans="1:9" ht="33.75">
      <c r="A114" t="s">
        <v>257</v>
      </c>
      <c r="B114" t="s">
        <v>243</v>
      </c>
      <c r="C114" s="88" t="s">
        <v>258</v>
      </c>
      <c r="D114" t="s">
        <v>14</v>
      </c>
      <c r="H114" t="s">
        <v>259</v>
      </c>
    </row>
    <row r="115" spans="1:9">
      <c r="A115" t="s">
        <v>260</v>
      </c>
      <c r="B115" t="s">
        <v>243</v>
      </c>
      <c r="C115" s="88" t="s">
        <v>261</v>
      </c>
      <c r="D115" t="s">
        <v>14</v>
      </c>
    </row>
    <row r="116" spans="1:9">
      <c r="A116" t="s">
        <v>262</v>
      </c>
      <c r="B116" t="s">
        <v>243</v>
      </c>
      <c r="C116" s="88" t="s">
        <v>263</v>
      </c>
      <c r="D116" t="s">
        <v>14</v>
      </c>
      <c r="H116" t="s">
        <v>264</v>
      </c>
    </row>
    <row r="117" spans="1:9">
      <c r="A117" t="s">
        <v>265</v>
      </c>
      <c r="B117" t="s">
        <v>243</v>
      </c>
      <c r="C117" s="88" t="s">
        <v>266</v>
      </c>
      <c r="D117" t="s">
        <v>14</v>
      </c>
    </row>
    <row r="118" spans="1:9">
      <c r="A118" t="s">
        <v>267</v>
      </c>
      <c r="B118" t="s">
        <v>243</v>
      </c>
      <c r="C118" s="88" t="s">
        <v>268</v>
      </c>
      <c r="D118" t="s">
        <v>14</v>
      </c>
    </row>
    <row r="119" spans="1:9">
      <c r="A119" t="s">
        <v>269</v>
      </c>
      <c r="B119" t="s">
        <v>243</v>
      </c>
      <c r="C119" s="88" t="s">
        <v>270</v>
      </c>
      <c r="D119" t="s">
        <v>14</v>
      </c>
    </row>
    <row r="120" spans="1:9">
      <c r="A120" t="s">
        <v>271</v>
      </c>
      <c r="B120" t="s">
        <v>243</v>
      </c>
      <c r="C120" s="88" t="s">
        <v>272</v>
      </c>
      <c r="D120" t="s">
        <v>14</v>
      </c>
    </row>
    <row r="121" spans="1:9">
      <c r="A121" t="s">
        <v>273</v>
      </c>
      <c r="B121" t="s">
        <v>243</v>
      </c>
      <c r="C121" s="88" t="s">
        <v>274</v>
      </c>
      <c r="D121" t="s">
        <v>14</v>
      </c>
    </row>
    <row r="122" spans="1:9">
      <c r="A122" t="s">
        <v>275</v>
      </c>
      <c r="B122" t="s">
        <v>243</v>
      </c>
      <c r="C122" s="88" t="s">
        <v>276</v>
      </c>
      <c r="D122" t="s">
        <v>14</v>
      </c>
    </row>
    <row r="123" spans="1:9" ht="22.5">
      <c r="A123" t="s">
        <v>277</v>
      </c>
      <c r="B123" t="s">
        <v>278</v>
      </c>
      <c r="C123" s="88" t="s">
        <v>279</v>
      </c>
      <c r="D123" t="s">
        <v>14</v>
      </c>
      <c r="H123" t="s">
        <v>280</v>
      </c>
      <c r="I123" t="s">
        <v>32</v>
      </c>
    </row>
    <row r="124" spans="1:9" ht="22.5">
      <c r="A124" t="s">
        <v>281</v>
      </c>
      <c r="B124" t="s">
        <v>278</v>
      </c>
      <c r="C124" s="88" t="s">
        <v>282</v>
      </c>
      <c r="D124" t="s">
        <v>14</v>
      </c>
      <c r="G124" t="s">
        <v>283</v>
      </c>
      <c r="I124" t="s">
        <v>284</v>
      </c>
    </row>
    <row r="125" spans="1:9">
      <c r="A125" t="s">
        <v>285</v>
      </c>
      <c r="B125" t="s">
        <v>278</v>
      </c>
      <c r="C125" s="88" t="s">
        <v>286</v>
      </c>
      <c r="D125" t="s">
        <v>14</v>
      </c>
    </row>
    <row r="126" spans="1:9">
      <c r="A126" s="2" t="s">
        <v>287</v>
      </c>
      <c r="B126" t="s">
        <v>278</v>
      </c>
      <c r="C126" s="88" t="s">
        <v>288</v>
      </c>
      <c r="D126" t="s">
        <v>14</v>
      </c>
      <c r="G126" t="s">
        <v>289</v>
      </c>
      <c r="I126" t="s">
        <v>168</v>
      </c>
    </row>
    <row r="127" spans="1:9">
      <c r="A127" s="2" t="s">
        <v>290</v>
      </c>
      <c r="B127" t="s">
        <v>278</v>
      </c>
      <c r="C127" s="88" t="s">
        <v>291</v>
      </c>
      <c r="D127" t="s">
        <v>14</v>
      </c>
      <c r="G127" t="s">
        <v>292</v>
      </c>
      <c r="H127" t="s">
        <v>293</v>
      </c>
      <c r="I127" t="s">
        <v>294</v>
      </c>
    </row>
    <row r="128" spans="1:9" ht="22.5">
      <c r="A128" s="2" t="s">
        <v>295</v>
      </c>
      <c r="B128" t="s">
        <v>278</v>
      </c>
      <c r="C128" s="88" t="s">
        <v>296</v>
      </c>
      <c r="D128" t="s">
        <v>14</v>
      </c>
      <c r="G128" t="s">
        <v>297</v>
      </c>
      <c r="I128" t="s">
        <v>298</v>
      </c>
    </row>
    <row r="129" spans="1:9">
      <c r="A129" s="2" t="s">
        <v>299</v>
      </c>
      <c r="B129" t="s">
        <v>278</v>
      </c>
      <c r="C129" s="88" t="s">
        <v>300</v>
      </c>
      <c r="D129" t="s">
        <v>14</v>
      </c>
      <c r="G129" t="s">
        <v>292</v>
      </c>
      <c r="H129" t="s">
        <v>293</v>
      </c>
      <c r="I129" t="s">
        <v>294</v>
      </c>
    </row>
    <row r="130" spans="1:9">
      <c r="A130" s="2" t="s">
        <v>301</v>
      </c>
      <c r="B130" t="s">
        <v>278</v>
      </c>
      <c r="C130" s="88" t="s">
        <v>302</v>
      </c>
      <c r="D130" t="s">
        <v>14</v>
      </c>
      <c r="G130" t="s">
        <v>289</v>
      </c>
      <c r="I130" t="s">
        <v>168</v>
      </c>
    </row>
    <row r="131" spans="1:9">
      <c r="A131" t="s">
        <v>303</v>
      </c>
      <c r="B131" t="s">
        <v>278</v>
      </c>
      <c r="C131" s="88" t="s">
        <v>304</v>
      </c>
      <c r="D131" t="s">
        <v>14</v>
      </c>
    </row>
    <row r="132" spans="1:9" ht="22.5">
      <c r="A132" s="2" t="s">
        <v>305</v>
      </c>
      <c r="B132" t="s">
        <v>278</v>
      </c>
      <c r="C132" s="89" t="s">
        <v>306</v>
      </c>
      <c r="D132" t="s">
        <v>14</v>
      </c>
      <c r="E132" t="s">
        <v>307</v>
      </c>
      <c r="F132" t="s">
        <v>308</v>
      </c>
      <c r="G132" t="s">
        <v>309</v>
      </c>
      <c r="H132" t="s">
        <v>310</v>
      </c>
      <c r="I132" t="s">
        <v>311</v>
      </c>
    </row>
    <row r="133" spans="1:9">
      <c r="A133" s="2" t="s">
        <v>312</v>
      </c>
      <c r="B133" t="s">
        <v>278</v>
      </c>
      <c r="C133" s="88" t="s">
        <v>313</v>
      </c>
      <c r="D133" t="s">
        <v>14</v>
      </c>
      <c r="E133" t="s">
        <v>307</v>
      </c>
      <c r="F133" t="s">
        <v>308</v>
      </c>
      <c r="G133" t="s">
        <v>314</v>
      </c>
      <c r="H133" t="s">
        <v>315</v>
      </c>
      <c r="I133" t="s">
        <v>316</v>
      </c>
    </row>
    <row r="134" spans="1:9" ht="22.5">
      <c r="A134" s="2" t="s">
        <v>317</v>
      </c>
      <c r="B134" t="s">
        <v>278</v>
      </c>
      <c r="C134" s="89" t="s">
        <v>318</v>
      </c>
      <c r="D134" t="s">
        <v>14</v>
      </c>
      <c r="E134" t="s">
        <v>307</v>
      </c>
      <c r="F134" t="s">
        <v>308</v>
      </c>
      <c r="G134" t="s">
        <v>319</v>
      </c>
      <c r="H134" t="s">
        <v>320</v>
      </c>
      <c r="I134" t="s">
        <v>321</v>
      </c>
    </row>
    <row r="135" spans="1:9">
      <c r="A135" s="2" t="s">
        <v>322</v>
      </c>
      <c r="B135" t="s">
        <v>278</v>
      </c>
      <c r="C135" s="89" t="s">
        <v>323</v>
      </c>
      <c r="D135" t="s">
        <v>14</v>
      </c>
      <c r="E135" t="s">
        <v>307</v>
      </c>
      <c r="F135" t="s">
        <v>308</v>
      </c>
      <c r="G135" t="s">
        <v>324</v>
      </c>
      <c r="H135" t="s">
        <v>325</v>
      </c>
      <c r="I135" t="s">
        <v>321</v>
      </c>
    </row>
    <row r="136" spans="1:9" ht="22.5">
      <c r="A136" s="2" t="s">
        <v>326</v>
      </c>
      <c r="B136" t="s">
        <v>278</v>
      </c>
      <c r="C136" s="89" t="s">
        <v>327</v>
      </c>
      <c r="D136" t="s">
        <v>14</v>
      </c>
      <c r="E136" t="s">
        <v>307</v>
      </c>
      <c r="F136" t="s">
        <v>308</v>
      </c>
      <c r="G136" t="s">
        <v>309</v>
      </c>
      <c r="H136" t="s">
        <v>328</v>
      </c>
      <c r="I136" t="s">
        <v>311</v>
      </c>
    </row>
    <row r="137" spans="1:9" ht="22.5">
      <c r="A137" s="2" t="s">
        <v>329</v>
      </c>
      <c r="B137" t="s">
        <v>278</v>
      </c>
      <c r="C137" s="88" t="s">
        <v>330</v>
      </c>
      <c r="D137" t="s">
        <v>14</v>
      </c>
      <c r="E137" t="s">
        <v>308</v>
      </c>
      <c r="F137" t="s">
        <v>308</v>
      </c>
      <c r="G137" t="s">
        <v>331</v>
      </c>
      <c r="H137" t="s">
        <v>332</v>
      </c>
      <c r="I137" t="s">
        <v>333</v>
      </c>
    </row>
    <row r="138" spans="1:9">
      <c r="A138" t="s">
        <v>334</v>
      </c>
      <c r="B138" t="s">
        <v>278</v>
      </c>
      <c r="C138" s="88" t="s">
        <v>335</v>
      </c>
      <c r="D138" t="s">
        <v>14</v>
      </c>
    </row>
    <row r="139" spans="1:9">
      <c r="A139" s="2" t="s">
        <v>336</v>
      </c>
      <c r="B139" t="s">
        <v>278</v>
      </c>
      <c r="C139" s="88" t="s">
        <v>337</v>
      </c>
      <c r="D139" t="s">
        <v>14</v>
      </c>
      <c r="E139" t="s">
        <v>308</v>
      </c>
      <c r="F139" t="s">
        <v>307</v>
      </c>
      <c r="G139" t="s">
        <v>338</v>
      </c>
      <c r="I139" t="s">
        <v>339</v>
      </c>
    </row>
    <row r="140" spans="1:9">
      <c r="A140" s="2" t="s">
        <v>340</v>
      </c>
      <c r="B140" t="s">
        <v>278</v>
      </c>
      <c r="C140" s="88" t="s">
        <v>341</v>
      </c>
      <c r="D140" t="s">
        <v>14</v>
      </c>
      <c r="E140" t="s">
        <v>308</v>
      </c>
      <c r="F140" t="s">
        <v>307</v>
      </c>
      <c r="G140" t="s">
        <v>342</v>
      </c>
      <c r="I140" t="s">
        <v>339</v>
      </c>
    </row>
    <row r="141" spans="1:9" ht="22.5">
      <c r="A141" s="2" t="s">
        <v>343</v>
      </c>
      <c r="B141" t="s">
        <v>278</v>
      </c>
      <c r="C141" s="88" t="s">
        <v>344</v>
      </c>
      <c r="D141" t="s">
        <v>14</v>
      </c>
      <c r="E141" t="s">
        <v>307</v>
      </c>
      <c r="F141" t="s">
        <v>308</v>
      </c>
      <c r="G141" t="s">
        <v>345</v>
      </c>
      <c r="I141" t="s">
        <v>346</v>
      </c>
    </row>
    <row r="142" spans="1:9">
      <c r="A142" t="s">
        <v>347</v>
      </c>
      <c r="B142" t="s">
        <v>278</v>
      </c>
      <c r="C142" s="88" t="s">
        <v>348</v>
      </c>
      <c r="D142" t="s">
        <v>14</v>
      </c>
    </row>
    <row r="143" spans="1:9">
      <c r="A143" s="2" t="s">
        <v>349</v>
      </c>
      <c r="B143" t="s">
        <v>278</v>
      </c>
      <c r="C143" s="88" t="s">
        <v>350</v>
      </c>
      <c r="D143" t="s">
        <v>14</v>
      </c>
      <c r="I143" t="s">
        <v>298</v>
      </c>
    </row>
    <row r="144" spans="1:9">
      <c r="A144" s="2" t="s">
        <v>351</v>
      </c>
      <c r="B144" t="s">
        <v>278</v>
      </c>
      <c r="C144" s="88" t="s">
        <v>352</v>
      </c>
      <c r="D144" t="s">
        <v>14</v>
      </c>
      <c r="G144" t="s">
        <v>353</v>
      </c>
      <c r="H144" t="s">
        <v>354</v>
      </c>
      <c r="I144" t="s">
        <v>355</v>
      </c>
    </row>
    <row r="145" spans="1:9">
      <c r="A145" s="2" t="s">
        <v>86</v>
      </c>
      <c r="B145" t="s">
        <v>278</v>
      </c>
      <c r="C145" s="88" t="s">
        <v>356</v>
      </c>
      <c r="D145" t="s">
        <v>14</v>
      </c>
      <c r="G145" t="s">
        <v>357</v>
      </c>
    </row>
    <row r="146" spans="1:9" ht="12" customHeight="1">
      <c r="A146" t="s">
        <v>358</v>
      </c>
      <c r="B146" t="s">
        <v>278</v>
      </c>
      <c r="C146" s="88" t="s">
        <v>359</v>
      </c>
      <c r="D146" t="s">
        <v>14</v>
      </c>
      <c r="G146" t="s">
        <v>360</v>
      </c>
      <c r="I146" t="s">
        <v>361</v>
      </c>
    </row>
    <row r="147" spans="1:9" ht="22.5">
      <c r="A147" t="s">
        <v>362</v>
      </c>
      <c r="B147" t="s">
        <v>278</v>
      </c>
      <c r="C147" s="88" t="s">
        <v>363</v>
      </c>
      <c r="D147" t="s">
        <v>14</v>
      </c>
      <c r="G147" t="s">
        <v>364</v>
      </c>
      <c r="I147" t="s">
        <v>365</v>
      </c>
    </row>
    <row r="148" spans="1:9">
      <c r="A148" t="s">
        <v>366</v>
      </c>
      <c r="B148" t="s">
        <v>278</v>
      </c>
      <c r="C148" s="88" t="s">
        <v>367</v>
      </c>
      <c r="D148" t="s">
        <v>14</v>
      </c>
    </row>
    <row r="149" spans="1:9" ht="22.5">
      <c r="A149" s="2" t="s">
        <v>94</v>
      </c>
      <c r="B149" t="s">
        <v>278</v>
      </c>
      <c r="C149" s="88" t="s">
        <v>368</v>
      </c>
      <c r="D149" t="s">
        <v>14</v>
      </c>
      <c r="H149" s="90" t="s">
        <v>369</v>
      </c>
    </row>
    <row r="150" spans="1:9">
      <c r="A150" t="s">
        <v>370</v>
      </c>
      <c r="B150" t="s">
        <v>278</v>
      </c>
      <c r="C150" s="88" t="s">
        <v>371</v>
      </c>
      <c r="D150" t="s">
        <v>14</v>
      </c>
    </row>
    <row r="151" spans="1:9">
      <c r="A151" s="2" t="s">
        <v>116</v>
      </c>
      <c r="B151" t="s">
        <v>278</v>
      </c>
      <c r="C151" s="88" t="s">
        <v>372</v>
      </c>
      <c r="D151" t="s">
        <v>14</v>
      </c>
    </row>
    <row r="152" spans="1:9">
      <c r="A152" s="2" t="s">
        <v>118</v>
      </c>
      <c r="B152" t="s">
        <v>278</v>
      </c>
      <c r="C152" s="88" t="s">
        <v>373</v>
      </c>
      <c r="D152" t="s">
        <v>14</v>
      </c>
    </row>
    <row r="153" spans="1:9">
      <c r="A153" s="2" t="s">
        <v>120</v>
      </c>
      <c r="B153" t="s">
        <v>278</v>
      </c>
      <c r="C153" s="88" t="s">
        <v>374</v>
      </c>
      <c r="D153" t="s">
        <v>14</v>
      </c>
    </row>
    <row r="154" spans="1:9" ht="22.5">
      <c r="A154" s="2" t="s">
        <v>122</v>
      </c>
      <c r="B154" t="s">
        <v>278</v>
      </c>
      <c r="C154" s="88" t="s">
        <v>375</v>
      </c>
      <c r="D154" t="s">
        <v>14</v>
      </c>
    </row>
    <row r="155" spans="1:9">
      <c r="A155" s="2" t="s">
        <v>124</v>
      </c>
      <c r="B155" t="s">
        <v>278</v>
      </c>
      <c r="C155" s="88" t="s">
        <v>376</v>
      </c>
      <c r="D155" t="s">
        <v>14</v>
      </c>
    </row>
    <row r="156" spans="1:9" ht="22.5">
      <c r="A156" s="2" t="s">
        <v>377</v>
      </c>
      <c r="B156" t="s">
        <v>278</v>
      </c>
      <c r="C156" s="88" t="s">
        <v>378</v>
      </c>
      <c r="D156" t="s">
        <v>14</v>
      </c>
    </row>
    <row r="157" spans="1:9">
      <c r="A157" t="s">
        <v>379</v>
      </c>
      <c r="B157" t="s">
        <v>278</v>
      </c>
      <c r="C157" s="88" t="s">
        <v>380</v>
      </c>
      <c r="D157" t="s">
        <v>14</v>
      </c>
    </row>
    <row r="158" spans="1:9">
      <c r="A158" t="s">
        <v>381</v>
      </c>
      <c r="B158" t="s">
        <v>278</v>
      </c>
      <c r="C158" s="88" t="s">
        <v>382</v>
      </c>
      <c r="D158" t="s">
        <v>14</v>
      </c>
    </row>
    <row r="159" spans="1:9">
      <c r="A159" t="s">
        <v>383</v>
      </c>
      <c r="B159" t="s">
        <v>278</v>
      </c>
      <c r="C159" s="88" t="s">
        <v>384</v>
      </c>
      <c r="D159" t="s">
        <v>14</v>
      </c>
    </row>
  </sheetData>
  <phoneticPr fontId="24" type="noConversion"/>
  <pageMargins left="0.7" right="0.7" top="0.75" bottom="0.75" header="0.3" footer="0.3"/>
  <pageSetup orientation="portrait" horizontalDpi="360" verticalDpi="36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D5E2E0-23B6-064B-A573-D28AD0C6E09E}">
  <sheetPr codeName="Sheet2">
    <tabColor theme="9"/>
  </sheetPr>
  <dimension ref="A5:Y118"/>
  <sheetViews>
    <sheetView zoomScale="70" zoomScaleNormal="70" workbookViewId="0">
      <pane xSplit="4" topLeftCell="E1" activePane="topRight" state="frozen"/>
      <selection pane="topRight" activeCell="E1" sqref="E1"/>
      <selection activeCell="A5" sqref="A5"/>
    </sheetView>
  </sheetViews>
  <sheetFormatPr defaultColWidth="9" defaultRowHeight="11.25"/>
  <cols>
    <col min="1" max="1" width="3.1640625" customWidth="1"/>
    <col min="2" max="2" width="35.6640625" style="90" customWidth="1"/>
    <col min="3" max="3" width="19.6640625" style="90" bestFit="1" customWidth="1"/>
    <col min="4" max="4" width="17.5" bestFit="1" customWidth="1"/>
    <col min="5" max="5" width="19" bestFit="1" customWidth="1"/>
    <col min="6" max="6" width="40" bestFit="1" customWidth="1"/>
    <col min="7" max="7" width="22" bestFit="1" customWidth="1"/>
    <col min="8" max="8" width="19.6640625" customWidth="1"/>
    <col min="9" max="9" width="16.6640625" customWidth="1"/>
    <col min="10" max="10" width="25.5" customWidth="1"/>
    <col min="11" max="11" width="13.6640625" customWidth="1"/>
    <col min="12" max="12" width="12.5" customWidth="1"/>
    <col min="13" max="13" width="20.5" customWidth="1"/>
    <col min="14" max="14" width="24.6640625" customWidth="1"/>
    <col min="15" max="15" width="20.6640625" bestFit="1" customWidth="1"/>
    <col min="16" max="16" width="13.1640625" bestFit="1" customWidth="1"/>
    <col min="17" max="17" width="19.6640625" bestFit="1" customWidth="1"/>
    <col min="18" max="18" width="12.1640625" customWidth="1"/>
    <col min="19" max="19" width="17.1640625" bestFit="1" customWidth="1"/>
    <col min="20" max="20" width="18.1640625" customWidth="1"/>
    <col min="23" max="23" width="14.1640625" bestFit="1" customWidth="1"/>
  </cols>
  <sheetData>
    <row r="5" spans="1:23" ht="15">
      <c r="R5" s="94"/>
    </row>
    <row r="6" spans="1:23" ht="52.5" customHeight="1">
      <c r="B6" s="153" t="s">
        <v>36</v>
      </c>
      <c r="C6" s="153"/>
      <c r="D6" s="153"/>
      <c r="F6" s="47" t="s">
        <v>385</v>
      </c>
      <c r="G6" s="48" t="s">
        <v>386</v>
      </c>
      <c r="H6" s="49" t="s">
        <v>245</v>
      </c>
      <c r="I6" s="49" t="s">
        <v>247</v>
      </c>
      <c r="J6" s="50" t="s">
        <v>387</v>
      </c>
      <c r="K6" s="50" t="s">
        <v>251</v>
      </c>
      <c r="L6" s="50" t="s">
        <v>254</v>
      </c>
      <c r="M6" s="50" t="s">
        <v>257</v>
      </c>
      <c r="N6" s="50" t="s">
        <v>388</v>
      </c>
      <c r="O6" s="49" t="s">
        <v>262</v>
      </c>
      <c r="P6" s="49" t="s">
        <v>389</v>
      </c>
      <c r="Q6" s="49" t="s">
        <v>390</v>
      </c>
      <c r="R6" s="49" t="s">
        <v>273</v>
      </c>
      <c r="S6" s="51" t="s">
        <v>275</v>
      </c>
      <c r="T6" s="3"/>
      <c r="U6" s="3"/>
      <c r="V6" s="3"/>
      <c r="W6" s="3"/>
    </row>
    <row r="7" spans="1:23" ht="15.95" customHeight="1">
      <c r="A7" s="1"/>
      <c r="B7" s="121"/>
      <c r="C7" s="121"/>
      <c r="D7" s="105"/>
      <c r="F7" s="52"/>
      <c r="S7" s="53"/>
    </row>
    <row r="8" spans="1:23" ht="12.75">
      <c r="A8" s="1"/>
      <c r="B8" s="122" t="s">
        <v>391</v>
      </c>
      <c r="C8" s="123"/>
      <c r="D8" s="25"/>
      <c r="E8" s="1"/>
      <c r="F8" s="54" t="s">
        <v>277</v>
      </c>
      <c r="G8" s="55" t="s">
        <v>38</v>
      </c>
      <c r="H8" s="55" t="s">
        <v>392</v>
      </c>
      <c r="I8" s="56">
        <f>IF(G8="Yes",IF(O8,O8,C20),0)</f>
        <v>2185</v>
      </c>
      <c r="J8" s="57">
        <f>IFERROR(VLOOKUP(C9,'Land Value Data'!$A$3:$G$51,7,FALSE),'Land Value Data'!G51)</f>
        <v>3093.3333333333335</v>
      </c>
      <c r="K8" s="58">
        <v>1</v>
      </c>
      <c r="L8" s="59">
        <f>IF(C51="Yes",'Market Adj Factors'!C45,1)</f>
        <v>2.4063214260550976</v>
      </c>
      <c r="M8" s="59">
        <v>1</v>
      </c>
      <c r="N8" s="60">
        <f>IF(P8,P8,J8*K8*L8*M8)</f>
        <v>7443.5542779304351</v>
      </c>
      <c r="O8" s="61">
        <v>0</v>
      </c>
      <c r="P8" s="62">
        <v>0</v>
      </c>
      <c r="Q8" s="63">
        <f>I8*N8</f>
        <v>16264166.097278001</v>
      </c>
      <c r="R8" s="64">
        <f>Q8/$Q$52</f>
        <v>6.8905209468183024E-3</v>
      </c>
      <c r="S8" s="65">
        <f>R8</f>
        <v>6.8905209468183024E-3</v>
      </c>
    </row>
    <row r="9" spans="1:23" ht="12.75">
      <c r="A9" s="1"/>
      <c r="B9" s="123" t="s">
        <v>35</v>
      </c>
      <c r="C9" s="123" t="s">
        <v>393</v>
      </c>
      <c r="D9" s="25" t="s">
        <v>394</v>
      </c>
      <c r="E9" s="1"/>
      <c r="F9" s="52"/>
      <c r="H9" s="55"/>
      <c r="I9" s="1"/>
      <c r="N9" s="66"/>
      <c r="O9" s="1"/>
      <c r="P9" s="1"/>
      <c r="Q9" s="1"/>
      <c r="R9" s="1"/>
      <c r="S9" s="67"/>
    </row>
    <row r="10" spans="1:23" ht="12.75">
      <c r="A10" s="1"/>
      <c r="B10" s="123" t="s">
        <v>39</v>
      </c>
      <c r="C10" s="123">
        <v>101</v>
      </c>
      <c r="D10" s="25" t="s">
        <v>395</v>
      </c>
      <c r="E10" s="1"/>
      <c r="F10" s="54" t="s">
        <v>281</v>
      </c>
      <c r="G10" s="55" t="s">
        <v>38</v>
      </c>
      <c r="H10" s="55" t="s">
        <v>396</v>
      </c>
      <c r="I10" s="56">
        <f>IF(G10="Yes",IF(O10,O10,C105*1000),0)</f>
        <v>1283324.8207034676</v>
      </c>
      <c r="J10" s="57">
        <f>IF(P10,P10,IF(AND(C46="Average",C47="Underground"),IF(C107&lt;=80,IF(C106&lt;=2,'Cost Curves L-PSH'!B11,IF(AND(C106&gt;2,C106&lt;=3),'Cost Curves L-PSH'!C11,IF(AND(C106&gt;3,C106&lt;=4),'Cost Curves L-PSH'!D11,IF(C106&gt;4,'Cost Curves L-PSH'!E11)))),IF(AND(C107&gt;80,C107&lt;=125),IF(C106&lt;=2,'Cost Curves L-PSH'!B53,IF(AND(C106&gt;2,C106&lt;=3),'Cost Curves L-PSH'!C53,IF(AND(C106&gt;3,C106&lt;=4),'Cost Curves L-PSH'!D53,IF(C106&gt;4,'Cost Curves L-PSH'!E53)))),IF(AND(C107&gt;125,C107&lt;=225),IF(C106&lt;=2,'Cost Curves L-PSH'!L53,IF(AND(C106&gt;2,C106&lt;=3),'Cost Curves L-PSH'!M53,IF(AND(C106&gt;3,C106&lt;=4),'Cost Curves L-PSH'!N53,IF(C106&gt;4,'Cost Curves L-PSH'!O53)))),IF(C107&gt;225,IF(C106&lt;=2,'Cost Curves L-PSH'!L11,IF(AND(C106&gt;2,C106&lt;=3),'Cost Curves L-PSH'!M11,IF(AND(C106&gt;3,C106&lt;=4),'Cost Curves L-PSH'!N11,IF(C106&gt;4,'Cost Curves L-PSH'!O11)))))))),IF(AND(C46="Adverse",C47="Underground"),IF(C107&lt;=80,IF(C106&lt;=2,'Cost Curves L-PSH'!F11,IF(AND(C106&gt;2,C106&lt;=3),'Cost Curves L-PSH'!G11,IF(AND(C106&gt;3,C106&lt;=4),'Cost Curves L-PSH'!H11,IF(C106&gt;4,'Cost Curves L-PSH'!I11)))),IF(AND(C107&gt;80,C107&lt;=125),IF(C106&lt;=2,'Cost Curves L-PSH'!F53,IF(AND(C106&gt;2,C106&lt;=3),'Cost Curves L-PSH'!G53,IF(AND(C106&gt;3,C106&lt;=4),'Cost Curves L-PSH'!H53,IF(C106&gt;4,'Cost Curves L-PSH'!I53)))),IF(AND(C107&gt;125,C107&lt;=225),IF(C106&lt;=2,'Cost Curves L-PSH'!P53,IF(AND(C106&gt;2,C106&lt;=3),'Cost Curves L-PSH'!Q53,IF(AND(C106&gt;3,C106&lt;=4),'Cost Curves L-PSH'!R53,IF(C106&gt;4,'Cost Curves L-PSH'!S53)))),IF(C107&gt;225,IF(C106&lt;=2,'Cost Curves L-PSH'!P11,IF(AND(C106&gt;2,C106&lt;=3),'Cost Curves L-PSH'!Q11,IF(AND(C106&gt;3,C106&lt;=4),'Cost Curves L-PSH'!R11,IF(C106&gt;4,'Cost Curves L-PSH'!S11)))))))),IF(AND(C46="Average",C47="Surface"),IF(C107&lt;=80,IF(C106&lt;=2,'Cost Curves L-PSH'!V11,IF(AND(C106&gt;2,C106&lt;=3),'Cost Curves L-PSH'!W11,IF(AND(C106&gt;3,C106&lt;=4),'Cost Curves L-PSH'!X11,IF(C106&gt;4,'Cost Curves L-PSH'!Y11)))),IF(AND(C107&gt;80,C107&lt;=125),IF(C106&lt;=2,'Cost Curves L-PSH'!V53,IF(AND(C106&gt;2,C106&lt;=3),'Cost Curves L-PSH'!W53,IF(AND(C106&gt;3,C106&lt;=4),'Cost Curves L-PSH'!X53,IF(C106&gt;4,'Cost Curves L-PSH'!Y53)))),IF(AND(C107&gt;125,C107&lt;=225),IF(C106&lt;=2,'Cost Curves L-PSH'!AF53,IF(AND(C106&gt;2,C106&lt;=3),'Cost Curves L-PSH'!AG53,IF(AND(C106&gt;3,C106&lt;=4),'Cost Curves L-PSH'!AH53,IF(C106&gt;4,'Cost Curves L-PSH'!AI53)))),IF(C107&gt;225,IF(C106&lt;=2,'Cost Curves L-PSH'!AF11,IF(AND(C106&gt;2,C106&lt;=3),'Cost Curves L-PSH'!AG11,IF(AND(C106&gt;3,C106&lt;=4),'Cost Curves L-PSH'!AH11,IF(C106&gt;4,'Cost Curves L-PSH'!AI11)))))))),IF(AND(C46="Adverse",C47="Surface"),IF(C107&lt;=80,IF(C106&lt;=2,'Cost Curves L-PSH'!Z11,IF(AND(C106&gt;2,C106&lt;=3),'Cost Curves L-PSH'!AA11,IF(AND(C106&gt;3,C106&lt;=4),'Cost Curves L-PSH'!AB11,IF(C106&gt;4,'Cost Curves L-PSH'!AC11)))),IF(AND(C107&gt;80,C107&lt;=125),IF(C106&lt;=2,'Cost Curves L-PSH'!Z53,IF(AND(C106&gt;2,C106&lt;=3),'Cost Curves L-PSH'!AA53,IF(AND(C106&gt;3,C106&lt;=4),'Cost Curves L-PSH'!AB53,IF(C106&gt;4,'Cost Curves L-PSH'!AC53)))),IF(AND(C107&gt;125,C107&lt;=225),IF(C106&lt;=2,'Cost Curves L-PSH'!AJ53,IF(AND(C106&gt;2,C106&lt;=3),'Cost Curves L-PSH'!AK53,IF(AND(C106&gt;3,C106&lt;=4),'Cost Curves L-PSH'!AL53,IF(C106&gt;4,'Cost Curves L-PSH'!AM53)))),IF(C107&gt;225,IF(C106&lt;=2,'Cost Curves L-PSH'!AJ11,IF(AND(C106&gt;2,C106&lt;=3),'Cost Curves L-PSH'!AK11,IF(AND(C106&gt;3,C106&lt;=4),'Cost Curves L-PSH'!AL11,IF(C106&gt;4,'Cost Curves L-PSH'!AM11)))))))))))))</f>
        <v>39.0597787354559</v>
      </c>
      <c r="K10" s="58">
        <f>VLOOKUP(C9,'Locational Adj Factors'!$A$3:$B$55,2,FALSE)/100</f>
        <v>1</v>
      </c>
      <c r="L10" s="59">
        <f>IF(C51="Yes",'Market Adj Factors'!C45,1)</f>
        <v>2.4063214260550976</v>
      </c>
      <c r="M10" s="59">
        <f>'Market Adj Factors'!C30</f>
        <v>1.3</v>
      </c>
      <c r="N10" s="60">
        <f>IF(P10,P10,J10*K10*L10*M10)</f>
        <v>122.18749720852847</v>
      </c>
      <c r="O10" s="61">
        <v>0</v>
      </c>
      <c r="P10" s="62">
        <v>0</v>
      </c>
      <c r="Q10" s="60">
        <f>N10*I10</f>
        <v>156806247.94734025</v>
      </c>
      <c r="R10" s="64">
        <f>Q10/$Q$52</f>
        <v>6.64329624777973E-2</v>
      </c>
      <c r="S10" s="65">
        <f>R10</f>
        <v>6.64329624777973E-2</v>
      </c>
    </row>
    <row r="11" spans="1:23" ht="12.75">
      <c r="A11" s="1"/>
      <c r="B11" s="123" t="s">
        <v>41</v>
      </c>
      <c r="C11" s="123">
        <v>191</v>
      </c>
      <c r="D11" s="25" t="s">
        <v>397</v>
      </c>
      <c r="E11" s="1"/>
      <c r="F11" s="52"/>
      <c r="H11" s="55"/>
      <c r="I11" s="1"/>
      <c r="N11" s="66"/>
      <c r="O11" s="1"/>
      <c r="P11" s="1"/>
      <c r="Q11" s="1"/>
      <c r="R11" s="1"/>
      <c r="S11" s="67"/>
    </row>
    <row r="12" spans="1:23" ht="12.75">
      <c r="A12" s="1"/>
      <c r="B12" s="123" t="s">
        <v>43</v>
      </c>
      <c r="C12" s="123">
        <v>120</v>
      </c>
      <c r="D12" s="25" t="s">
        <v>395</v>
      </c>
      <c r="E12" s="1"/>
      <c r="F12" s="54" t="s">
        <v>285</v>
      </c>
      <c r="H12" s="55"/>
      <c r="I12" s="1"/>
      <c r="N12" s="66"/>
      <c r="O12" s="1"/>
      <c r="P12" s="1"/>
      <c r="Q12" s="1"/>
      <c r="R12" s="1"/>
      <c r="S12" s="67"/>
    </row>
    <row r="13" spans="1:23" ht="12.75">
      <c r="A13" s="1"/>
      <c r="B13" s="123" t="s">
        <v>45</v>
      </c>
      <c r="C13" s="123">
        <v>163</v>
      </c>
      <c r="D13" s="25" t="s">
        <v>397</v>
      </c>
      <c r="E13" s="1"/>
      <c r="F13" s="68" t="s">
        <v>287</v>
      </c>
      <c r="G13" s="55" t="s">
        <v>38</v>
      </c>
      <c r="H13" s="55" t="s">
        <v>398</v>
      </c>
      <c r="I13" s="56">
        <f>IF(G13="Yes",IF(O13,O13,C83),0)</f>
        <v>2385110</v>
      </c>
      <c r="J13" s="57">
        <f>'Cost Curves L-PSH'!J95</f>
        <v>7.9166421358164936</v>
      </c>
      <c r="K13" s="58">
        <f>VLOOKUP(C9,'Locational Adj Factors'!$A$3:$B$55,2,FALSE)/100</f>
        <v>1</v>
      </c>
      <c r="L13" s="59">
        <f>'Market Adj Factors'!C45</f>
        <v>2.4063214260550976</v>
      </c>
      <c r="M13" s="59">
        <f>'Market Adj Factors'!C31</f>
        <v>1.4</v>
      </c>
      <c r="N13" s="57">
        <f>IF(P13,P13,J13*K13*L13*M13)</f>
        <v>26.669979831356148</v>
      </c>
      <c r="O13" s="61">
        <v>0</v>
      </c>
      <c r="P13" s="62">
        <v>0</v>
      </c>
      <c r="Q13" s="60">
        <f>N13*I13</f>
        <v>63610835.595565863</v>
      </c>
      <c r="R13" s="64">
        <f>Q13/$Q$52</f>
        <v>2.6949540019098703E-2</v>
      </c>
      <c r="S13" s="69">
        <f>SUM(R13:R17)</f>
        <v>9.0872822260443492E-2</v>
      </c>
      <c r="T13" s="106"/>
    </row>
    <row r="14" spans="1:23" ht="12.75">
      <c r="A14" s="1"/>
      <c r="B14" s="113" t="s">
        <v>47</v>
      </c>
      <c r="C14" s="123">
        <v>1560</v>
      </c>
      <c r="D14" s="25" t="s">
        <v>395</v>
      </c>
      <c r="E14" s="1"/>
      <c r="F14" s="68" t="s">
        <v>290</v>
      </c>
      <c r="G14" s="55" t="s">
        <v>38</v>
      </c>
      <c r="H14" s="55" t="s">
        <v>394</v>
      </c>
      <c r="I14" s="1">
        <f>IF(G14="Yes",IF(O14,O14,C93),0)</f>
        <v>1</v>
      </c>
      <c r="J14" s="57">
        <f>IF(C44="Horizontal",'Cost Curves L-PSH'!P88,IF('Cost Model L-PSH'!C44="Vertical",'Cost Curves L-PSH'!P91))*1000000</f>
        <v>1483192.6075256057</v>
      </c>
      <c r="K14" s="58">
        <f>VLOOKUP(C9,'Locational Adj Factors'!$A$3:$B$55,2,FALSE)/100</f>
        <v>1</v>
      </c>
      <c r="L14" s="59">
        <f>IF(C51="Yes",'Market Adj Factors'!C45,1)</f>
        <v>2.4063214260550976</v>
      </c>
      <c r="M14" s="59">
        <f>'Market Adj Factors'!C32</f>
        <v>2</v>
      </c>
      <c r="N14" s="57">
        <f>IF(P14,P14,J14*K14*L14*M14)</f>
        <v>7138076.3009107886</v>
      </c>
      <c r="O14" s="61">
        <v>0</v>
      </c>
      <c r="P14" s="62">
        <v>0</v>
      </c>
      <c r="Q14" s="60">
        <f>N14*I14</f>
        <v>7138076.3009107886</v>
      </c>
      <c r="R14" s="64">
        <f>Q14/$Q$52</f>
        <v>3.0241368648863463E-3</v>
      </c>
      <c r="S14" s="69"/>
    </row>
    <row r="15" spans="1:23" ht="12.75">
      <c r="A15" s="1"/>
      <c r="B15" s="123" t="s">
        <v>49</v>
      </c>
      <c r="C15" s="123">
        <v>14394</v>
      </c>
      <c r="D15" s="25" t="s">
        <v>395</v>
      </c>
      <c r="E15" s="1"/>
      <c r="F15" s="117" t="s">
        <v>295</v>
      </c>
      <c r="G15" s="55" t="s">
        <v>38</v>
      </c>
      <c r="H15" s="55" t="s">
        <v>399</v>
      </c>
      <c r="I15" s="91">
        <f>IF(G15="Yes",IF(O15,O15,IF(C96="Yes",40%,0%)),0)</f>
        <v>0.4</v>
      </c>
      <c r="J15" s="70" t="s">
        <v>400</v>
      </c>
      <c r="N15" s="70" t="s">
        <v>400</v>
      </c>
      <c r="O15" s="71">
        <v>0</v>
      </c>
      <c r="P15" s="72" t="s">
        <v>400</v>
      </c>
      <c r="Q15" s="73">
        <f>I15*SUM(Q20:Q25)</f>
        <v>103101433.5510007</v>
      </c>
      <c r="R15" s="64">
        <f>Q15/$Q$52</f>
        <v>4.3680234404951335E-2</v>
      </c>
      <c r="S15" s="69"/>
    </row>
    <row r="16" spans="1:23" ht="12.75">
      <c r="A16" s="1"/>
      <c r="B16" s="123" t="s">
        <v>51</v>
      </c>
      <c r="C16" s="123">
        <v>120</v>
      </c>
      <c r="D16" s="25" t="s">
        <v>401</v>
      </c>
      <c r="E16" s="1"/>
      <c r="F16" s="68" t="s">
        <v>299</v>
      </c>
      <c r="G16" s="55" t="s">
        <v>38</v>
      </c>
      <c r="H16" s="55" t="s">
        <v>394</v>
      </c>
      <c r="I16" s="1">
        <f>IF(G16="Yes",IF(C47="Underground",IF(O16,O16,C93),0))</f>
        <v>1</v>
      </c>
      <c r="J16" s="57">
        <f>IF(C45="Horizontal",'Cost Curves L-PSH'!P88,IF('Cost Model L-PSH'!C45="Vertical",'Cost Curves L-PSH'!P91))*1000000</f>
        <v>6772919.0779682612</v>
      </c>
      <c r="K16" s="58">
        <f>VLOOKUP(C9,'Locational Adj Factors'!$A$3:$B$55,2,FALSE)/100</f>
        <v>1</v>
      </c>
      <c r="L16" s="59">
        <f>IF(C51="Yes",'Market Adj Factors'!C45,1)</f>
        <v>2.4063214260550976</v>
      </c>
      <c r="M16" s="59">
        <f>'Market Adj Factors'!C33</f>
        <v>1.3</v>
      </c>
      <c r="N16" s="57">
        <f>IF(P16,P16,J16*K16*L16*M16)</f>
        <v>21187166.38252807</v>
      </c>
      <c r="O16" s="61">
        <v>0</v>
      </c>
      <c r="P16" s="62">
        <v>0</v>
      </c>
      <c r="Q16" s="60">
        <f>N16*I16</f>
        <v>21187166.38252807</v>
      </c>
      <c r="R16" s="64">
        <f>Q16/$Q$52</f>
        <v>8.97621266834993E-3</v>
      </c>
      <c r="S16" s="69"/>
    </row>
    <row r="17" spans="1:20" ht="12.75">
      <c r="A17" s="1"/>
      <c r="B17" s="123" t="s">
        <v>53</v>
      </c>
      <c r="C17" s="123">
        <v>1300</v>
      </c>
      <c r="D17" s="25" t="s">
        <v>401</v>
      </c>
      <c r="E17" s="1"/>
      <c r="F17" s="68" t="s">
        <v>301</v>
      </c>
      <c r="G17" s="55" t="s">
        <v>38</v>
      </c>
      <c r="H17" s="55" t="s">
        <v>398</v>
      </c>
      <c r="I17" s="56">
        <f>IF(G17="Yes",IF(O17,O17,C84),0)</f>
        <v>691570</v>
      </c>
      <c r="J17" s="57">
        <f>'Cost Curves L-PSH'!J96</f>
        <v>8.3508624157488018</v>
      </c>
      <c r="K17" s="58">
        <f>VLOOKUP(C9,'Locational Adj Factors'!$A$3:$B$55,2,FALSE)/100</f>
        <v>1</v>
      </c>
      <c r="L17" s="59">
        <f>IF(C51="Yes",'Market Adj Factors'!C45,1)</f>
        <v>2.4063214260550976</v>
      </c>
      <c r="M17" s="59">
        <f>'Market Adj Factors'!C31</f>
        <v>1.4</v>
      </c>
      <c r="N17" s="57">
        <f>IF(P17,P17,J17*K17*L17*M17)</f>
        <v>28.132802819876403</v>
      </c>
      <c r="O17" s="61">
        <v>0</v>
      </c>
      <c r="P17" s="62">
        <v>0</v>
      </c>
      <c r="Q17" s="60">
        <f>N17*I17</f>
        <v>19455802.446141925</v>
      </c>
      <c r="R17" s="64">
        <f>Q17/$Q$52</f>
        <v>8.2426983031571675E-3</v>
      </c>
      <c r="S17" s="69"/>
      <c r="T17" s="106"/>
    </row>
    <row r="18" spans="1:20" ht="12.75">
      <c r="A18" s="1"/>
      <c r="B18" s="123" t="s">
        <v>55</v>
      </c>
      <c r="C18" s="123">
        <v>60</v>
      </c>
      <c r="D18" s="25" t="s">
        <v>401</v>
      </c>
      <c r="E18" s="1"/>
      <c r="F18" s="52"/>
      <c r="H18" s="55"/>
      <c r="I18" s="1"/>
      <c r="N18" s="1"/>
      <c r="O18" s="1"/>
      <c r="P18" s="1"/>
      <c r="Q18" s="1"/>
      <c r="R18" s="1"/>
      <c r="S18" s="67"/>
    </row>
    <row r="19" spans="1:20" ht="12.75">
      <c r="A19" s="1"/>
      <c r="B19" s="123" t="s">
        <v>57</v>
      </c>
      <c r="C19" s="123">
        <v>1100</v>
      </c>
      <c r="D19" s="25" t="s">
        <v>401</v>
      </c>
      <c r="E19" s="1"/>
      <c r="F19" s="54" t="s">
        <v>303</v>
      </c>
      <c r="H19" s="55"/>
      <c r="I19" s="1"/>
      <c r="N19" s="1"/>
      <c r="O19" s="1"/>
      <c r="P19" s="1"/>
      <c r="Q19" s="1"/>
      <c r="R19" s="1"/>
      <c r="S19" s="67"/>
    </row>
    <row r="20" spans="1:20" ht="12.95" customHeight="1">
      <c r="A20" s="1"/>
      <c r="B20" s="123" t="s">
        <v>59</v>
      </c>
      <c r="C20" s="123">
        <v>2185</v>
      </c>
      <c r="D20" s="25" t="s">
        <v>397</v>
      </c>
      <c r="E20" s="1"/>
      <c r="F20" s="117" t="s">
        <v>305</v>
      </c>
      <c r="G20" s="55" t="s">
        <v>38</v>
      </c>
      <c r="H20" s="55" t="s">
        <v>402</v>
      </c>
      <c r="I20" s="56">
        <f>IF(G20="Yes",IF(O20,O20,(C15-C89-I22/C106-I23/C106)*0.5),0)*$C$93</f>
        <v>6268.25</v>
      </c>
      <c r="J20" s="120">
        <f>IF(C34="Average",IF(I20*C25&lt;=0.5,'Cost Curves L-PSH'!V95,IF(AND(I20*C25&gt;0.5,I20*C25&lt;=1),'Cost Curves L-PSH'!W95,IF(AND(I20*C25&gt;1,I20*C25&lt;=2),'Cost Curves L-PSH'!X95,IF(I20*C25&gt;2,'Cost Curves L-PSH'!Y95)))),IF(C34="Poor",IF(I20*C25&lt;=0.5,'Cost Curves L-PSH'!Z95,IF(AND(I20*C25&gt;0.5,I20*C25&lt;=1),'Cost Curves L-PSH'!AA95,IF(AND(I20*C25&gt;1,I20*C25&lt;=2),'Cost Curves L-PSH'!AB95,IF(I20*C25&gt;2,'Cost Curves L-PSH'!AC95))))))</f>
        <v>3667.2879327446549</v>
      </c>
      <c r="K20" s="58">
        <f>VLOOKUP(C9,'Locational Adj Factors'!$A$3:$B$55,2,FALSE)/100</f>
        <v>1</v>
      </c>
      <c r="L20" s="59">
        <f>IF(C51="Yes",'Market Adj Factors'!C45,1)</f>
        <v>2.4063214260550976</v>
      </c>
      <c r="M20" s="59">
        <f>'Market Adj Factors'!C36</f>
        <v>1.6</v>
      </c>
      <c r="N20" s="57">
        <f>IF(P20,P20,J20*K20*L20*M20)</f>
        <v>14119.47764492283</v>
      </c>
      <c r="O20" s="109"/>
      <c r="P20" s="62">
        <v>0</v>
      </c>
      <c r="Q20" s="63">
        <f t="shared" ref="Q20:Q25" si="0">N20*I20</f>
        <v>88504415.747787535</v>
      </c>
      <c r="R20" s="64">
        <f t="shared" ref="R20:R25" si="1">Q20/$Q$52</f>
        <v>3.7496022049240497E-2</v>
      </c>
      <c r="S20" s="69">
        <f>SUM(R20:R25)</f>
        <v>0.10920058601237834</v>
      </c>
      <c r="T20" s="106"/>
    </row>
    <row r="21" spans="1:20" ht="12.75">
      <c r="A21" s="1"/>
      <c r="B21" s="113" t="s">
        <v>62</v>
      </c>
      <c r="C21" s="123">
        <v>18.5</v>
      </c>
      <c r="D21" s="25" t="s">
        <v>403</v>
      </c>
      <c r="E21" s="1"/>
      <c r="F21" s="117" t="s">
        <v>312</v>
      </c>
      <c r="G21" s="55" t="s">
        <v>38</v>
      </c>
      <c r="H21" s="55" t="s">
        <v>402</v>
      </c>
      <c r="I21" s="56">
        <f>IF(G21="Yes",IF(O21,O21,C89),0)*$C$93</f>
        <v>1326</v>
      </c>
      <c r="J21" s="120">
        <f>'Cost Curves L-PSH'!AI90</f>
        <v>4761.6130899681739</v>
      </c>
      <c r="K21" s="58">
        <f>VLOOKUP(C9,'Locational Adj Factors'!$A$3:$B$55,2,FALSE)/100</f>
        <v>1</v>
      </c>
      <c r="L21" s="59">
        <f>IF(C51="Yes",'Market Adj Factors'!C45,1)</f>
        <v>2.4063214260550976</v>
      </c>
      <c r="M21" s="59">
        <f>'Market Adj Factors'!C35</f>
        <v>1.8</v>
      </c>
      <c r="N21" s="57">
        <f t="shared" ref="N21:N25" si="2">IF(P21,P21,J21*K21*L21*M21)</f>
        <v>20624.348881754704</v>
      </c>
      <c r="O21" s="109"/>
      <c r="P21" s="62">
        <v>0</v>
      </c>
      <c r="Q21" s="63">
        <f t="shared" si="0"/>
        <v>27347886.617206737</v>
      </c>
      <c r="R21" s="64">
        <f t="shared" si="1"/>
        <v>1.1586280197827837E-2</v>
      </c>
      <c r="S21" s="69"/>
    </row>
    <row r="22" spans="1:20" ht="12.75">
      <c r="A22" s="1"/>
      <c r="B22" s="123"/>
      <c r="C22" s="123"/>
      <c r="D22" s="25"/>
      <c r="E22" s="1"/>
      <c r="F22" s="118" t="s">
        <v>317</v>
      </c>
      <c r="G22" s="55" t="s">
        <v>38</v>
      </c>
      <c r="H22" s="55" t="s">
        <v>402</v>
      </c>
      <c r="I22" s="92">
        <f>IF(G22="Yes",IF(C48="Underground",IF(O22,O22,C89*0.25),0))*$C$106</f>
        <v>1326</v>
      </c>
      <c r="J22" s="120">
        <f>IF(C14&lt;=500,'Cost Curves L-PSH'!B131,IF(AND(C14&gt;500,C14&lt;=1000),'Cost Curves L-PSH'!C131,IF(AND(C14&gt;1000,C14&lt;=1500),'Cost Curves L-PSH'!D131,IF(C14&gt;1500,'Cost Curves L-PSH'!E131))))</f>
        <v>4825.8152305441936</v>
      </c>
      <c r="K22" s="58">
        <f>VLOOKUP(C9,'Locational Adj Factors'!$A$3:$B$55,2,FALSE)/100</f>
        <v>1</v>
      </c>
      <c r="L22" s="59">
        <f>IF($C$51="Yes",'Market Adj Factors'!$C$45,1)</f>
        <v>2.4063214260550976</v>
      </c>
      <c r="M22" s="59">
        <f>'Market Adj Factors'!C37</f>
        <v>1.9</v>
      </c>
      <c r="N22" s="57">
        <f t="shared" si="2"/>
        <v>22063.678916138877</v>
      </c>
      <c r="O22" s="110"/>
      <c r="P22" s="62">
        <v>0</v>
      </c>
      <c r="Q22" s="63">
        <f t="shared" si="0"/>
        <v>29256438.24280015</v>
      </c>
      <c r="R22" s="64">
        <f t="shared" si="1"/>
        <v>1.2394862382464802E-2</v>
      </c>
      <c r="S22" s="69"/>
    </row>
    <row r="23" spans="1:20" ht="12.75">
      <c r="A23" s="1"/>
      <c r="B23" s="122" t="s">
        <v>404</v>
      </c>
      <c r="C23" s="123"/>
      <c r="D23" s="24"/>
      <c r="E23" s="1"/>
      <c r="F23" s="118" t="s">
        <v>322</v>
      </c>
      <c r="G23" s="55" t="s">
        <v>38</v>
      </c>
      <c r="H23" s="55" t="s">
        <v>402</v>
      </c>
      <c r="I23" s="92">
        <f>IF(C47="Underground",IF(G23="Yes",IF(O23,O23,200),0),0)*$C$106</f>
        <v>800</v>
      </c>
      <c r="J23" s="120">
        <f>IF(C47="Underground",IF(C14-C88&lt;=500,'Cost Curves L-PSH'!B132,IF(AND(C14-C88&gt;500,C14-C88&lt;=1000),'Cost Curves L-PSH'!C132,IF(AND(C14-C88&gt;1000,C14-C88&lt;=1500),'Cost Curves L-PSH'!D132,IF(C14-C88&gt;1500,'Cost Curves L-PSH'!E132)))),0)</f>
        <v>6600.057681332245</v>
      </c>
      <c r="K23" s="58">
        <f>VLOOKUP($C$9,'Locational Adj Factors'!$A$3:$B$55,2,FALSE)/100</f>
        <v>1</v>
      </c>
      <c r="L23" s="59">
        <f>IF($C$51="Yes",'Market Adj Factors'!$C$45,1)</f>
        <v>2.4063214260550976</v>
      </c>
      <c r="M23" s="59">
        <f>'Market Adj Factors'!C38</f>
        <v>1.9</v>
      </c>
      <c r="N23" s="57">
        <f t="shared" si="2"/>
        <v>30175.534402399684</v>
      </c>
      <c r="O23" s="110"/>
      <c r="P23" s="62">
        <v>0</v>
      </c>
      <c r="Q23" s="63">
        <f>N23*I23</f>
        <v>24140427.521919746</v>
      </c>
      <c r="R23" s="64">
        <f t="shared" si="1"/>
        <v>1.0227399333604692E-2</v>
      </c>
      <c r="S23" s="69"/>
    </row>
    <row r="24" spans="1:20" ht="12.75">
      <c r="A24" s="1"/>
      <c r="B24" s="114" t="s">
        <v>64</v>
      </c>
      <c r="C24" s="123">
        <v>3.28084</v>
      </c>
      <c r="D24" s="25" t="s">
        <v>395</v>
      </c>
      <c r="E24" s="1"/>
      <c r="F24" s="118" t="s">
        <v>326</v>
      </c>
      <c r="G24" s="55" t="s">
        <v>38</v>
      </c>
      <c r="H24" s="55" t="s">
        <v>402</v>
      </c>
      <c r="I24" s="92">
        <f>IF(G24="Yes",IF(O24,O24,(C15-C89-I22/C106-I23/C106)*0.5),0)*$C$93</f>
        <v>6268.25</v>
      </c>
      <c r="J24" s="120">
        <f>IF(C34="Average",IF(I24*C25&lt;=0.5,'Cost Curves L-PSH'!V95,IF(AND(I24*C25&gt;0.5,I24*C25&lt;=1),'Cost Curves L-PSH'!W95,IF(AND(I24*C25&gt;1,I24*C25&lt;=2),'Cost Curves L-PSH'!X95,IF(I24*C25&gt;2,'Cost Curves L-PSH'!Y95)))),IF(C34="Poor",IF(I24*C25&lt;=0.5,'Cost Curves L-PSH'!Z95,IF(AND(I24*C25&gt;0.5,I24*C25&lt;=1),'Cost Curves L-PSH'!AA95,IF(AND(I24*C25&gt;1,I24*C25&lt;=2),'Cost Curves L-PSH'!AB95,IF(I24*C25&gt;2,'Cost Curves L-PSH'!AC95))))))</f>
        <v>3667.2879327446549</v>
      </c>
      <c r="K24" s="58">
        <f>VLOOKUP($C$9,'Locational Adj Factors'!$A$3:$B$55,2,FALSE)/100</f>
        <v>1</v>
      </c>
      <c r="L24" s="59">
        <f>IF($C$51="Yes",'Market Adj Factors'!$C$45,1)</f>
        <v>2.4063214260550976</v>
      </c>
      <c r="M24" s="59">
        <f>'Market Adj Factors'!C36</f>
        <v>1.6</v>
      </c>
      <c r="N24" s="57">
        <f t="shared" si="2"/>
        <v>14119.47764492283</v>
      </c>
      <c r="O24" s="110"/>
      <c r="P24" s="62">
        <v>0</v>
      </c>
      <c r="Q24" s="63">
        <f t="shared" si="0"/>
        <v>88504415.747787535</v>
      </c>
      <c r="R24" s="64">
        <f t="shared" si="1"/>
        <v>3.7496022049240497E-2</v>
      </c>
      <c r="S24" s="69"/>
    </row>
    <row r="25" spans="1:20" ht="12.75">
      <c r="A25" s="1"/>
      <c r="B25" s="114" t="s">
        <v>66</v>
      </c>
      <c r="C25" s="124">
        <v>1.8939400000000001E-4</v>
      </c>
      <c r="D25" s="25" t="s">
        <v>405</v>
      </c>
      <c r="E25" s="1"/>
      <c r="F25" s="118" t="s">
        <v>329</v>
      </c>
      <c r="G25" s="55" t="s">
        <v>38</v>
      </c>
      <c r="H25" s="55" t="s">
        <v>402</v>
      </c>
      <c r="I25" s="56">
        <f>IF(G25="Yes",IF(O25,O25,IF(C48="Surface",C106*C89*0.25,0)),0)</f>
        <v>0</v>
      </c>
      <c r="J25" s="120">
        <f>IF(OR(C104&lt;100, C48="Surface"),IF(C14&lt;=300,'Cost Curves L-PSH'!L131,IF(AND(C14&gt;300,C14&lt;=500),'Cost Curves L-PSH'!M131,IF(AND(C14&gt;500,C14&lt;=700),'Cost Curves L-PSH'!N131,IF(AND(C14&gt;700,C14&lt;=1000),'Cost Curves L-PSH'!O131,IF(C14&gt;1000,'Cost Curves L-PSH'!P131))))),0)</f>
        <v>0</v>
      </c>
      <c r="K25" s="58">
        <f>VLOOKUP($C$9,'Locational Adj Factors'!$A$3:$B$55,2,FALSE)/100</f>
        <v>1</v>
      </c>
      <c r="L25" s="59">
        <f>IF($C$51="Yes",'Market Adj Factors'!$C$45,1)</f>
        <v>2.4063214260550976</v>
      </c>
      <c r="M25" s="59">
        <f>'Market Adj Factors'!C34</f>
        <v>1.3</v>
      </c>
      <c r="N25" s="57">
        <f t="shared" si="2"/>
        <v>0</v>
      </c>
      <c r="O25" s="61">
        <v>0</v>
      </c>
      <c r="P25" s="62">
        <v>0</v>
      </c>
      <c r="Q25" s="63">
        <f t="shared" si="0"/>
        <v>0</v>
      </c>
      <c r="R25" s="64">
        <f t="shared" si="1"/>
        <v>0</v>
      </c>
      <c r="S25" s="69"/>
      <c r="T25" s="106"/>
    </row>
    <row r="26" spans="1:20" ht="12.75">
      <c r="A26" s="1"/>
      <c r="B26" s="123" t="s">
        <v>68</v>
      </c>
      <c r="C26" s="125">
        <v>43559.9</v>
      </c>
      <c r="D26" s="25" t="s">
        <v>406</v>
      </c>
      <c r="E26" s="1"/>
      <c r="F26" s="96"/>
      <c r="H26" s="55"/>
      <c r="I26" s="1"/>
      <c r="N26" s="1"/>
      <c r="O26" s="1"/>
      <c r="P26" s="1"/>
      <c r="Q26" s="1"/>
      <c r="R26" s="1"/>
      <c r="S26" s="67"/>
    </row>
    <row r="27" spans="1:20" ht="12.75">
      <c r="A27" s="1"/>
      <c r="B27" s="123" t="s">
        <v>70</v>
      </c>
      <c r="C27" s="125">
        <v>1613.33</v>
      </c>
      <c r="D27" s="25" t="s">
        <v>398</v>
      </c>
      <c r="E27" s="1"/>
      <c r="F27" s="54" t="s">
        <v>334</v>
      </c>
      <c r="H27" s="55"/>
      <c r="I27" s="1"/>
      <c r="N27" s="1"/>
      <c r="O27" s="1"/>
      <c r="P27" s="1"/>
      <c r="Q27" s="1"/>
      <c r="R27" s="1"/>
      <c r="S27" s="67"/>
    </row>
    <row r="28" spans="1:20" ht="12.95" customHeight="1">
      <c r="A28" s="1"/>
      <c r="B28" s="123" t="s">
        <v>72</v>
      </c>
      <c r="C28" s="126">
        <v>3600</v>
      </c>
      <c r="D28" s="25" t="s">
        <v>407</v>
      </c>
      <c r="E28" s="1"/>
      <c r="F28" s="107" t="s">
        <v>336</v>
      </c>
      <c r="G28" s="55" t="s">
        <v>38</v>
      </c>
      <c r="H28" s="55" t="s">
        <v>399</v>
      </c>
      <c r="I28" s="74">
        <f>IF(G28="Yes",1,0)</f>
        <v>1</v>
      </c>
      <c r="J28" s="57">
        <f>IF(C104&gt;100,0,'Cost Curves L-PSH'!D365)</f>
        <v>0</v>
      </c>
      <c r="K28" s="58">
        <f>VLOOKUP($C$9,'Locational Adj Factors'!$A$3:$B$55,2,FALSE)/100</f>
        <v>1</v>
      </c>
      <c r="L28" s="59">
        <v>1</v>
      </c>
      <c r="M28" s="59">
        <v>1</v>
      </c>
      <c r="N28" s="57">
        <f t="shared" ref="N28:N29" si="3">IF(P28,P28,J28*K28*L28*M28)</f>
        <v>0</v>
      </c>
      <c r="O28" s="61">
        <v>0</v>
      </c>
      <c r="P28" s="62">
        <v>0</v>
      </c>
      <c r="Q28" s="63">
        <f>N28*I28</f>
        <v>0</v>
      </c>
      <c r="R28" s="64">
        <f>Q28/$Q$52</f>
        <v>0</v>
      </c>
      <c r="S28" s="69">
        <f>IF(AND(R28=0%,R29=0%),R30,IF(R30=0%,SUM(R28:R29)))</f>
        <v>0.22956264337498453</v>
      </c>
      <c r="T28" s="106"/>
    </row>
    <row r="29" spans="1:20" ht="12.75">
      <c r="A29" s="1"/>
      <c r="B29" s="123" t="s">
        <v>74</v>
      </c>
      <c r="C29" s="126">
        <v>1000000</v>
      </c>
      <c r="D29" s="25" t="s">
        <v>408</v>
      </c>
      <c r="E29" s="1"/>
      <c r="F29" s="107" t="s">
        <v>340</v>
      </c>
      <c r="G29" s="55" t="s">
        <v>38</v>
      </c>
      <c r="H29" s="55" t="s">
        <v>396</v>
      </c>
      <c r="I29" s="74">
        <f>IF(G29="Yes",IF(C104&lt;=100,IF(O29,O29,I10),0),0)</f>
        <v>0</v>
      </c>
      <c r="J29" s="57">
        <f>IF(C104&gt;100,0,IF(C104&lt;=100,'Cost Curves L-PSH'!E374,'Cost Curves L-PSH'!E378))</f>
        <v>0</v>
      </c>
      <c r="K29" s="58">
        <f>VLOOKUP($C$9,'Locational Adj Factors'!$A$3:$B$55,2,FALSE)/100</f>
        <v>1</v>
      </c>
      <c r="L29" s="59">
        <v>1</v>
      </c>
      <c r="M29" s="59">
        <v>1</v>
      </c>
      <c r="N29" s="57">
        <f t="shared" si="3"/>
        <v>0</v>
      </c>
      <c r="O29" s="61">
        <v>0</v>
      </c>
      <c r="P29" s="62">
        <v>0</v>
      </c>
      <c r="Q29" s="63">
        <f>N29*I29</f>
        <v>0</v>
      </c>
      <c r="R29" s="64">
        <f>Q29/$Q$52</f>
        <v>0</v>
      </c>
      <c r="S29" s="69"/>
    </row>
    <row r="30" spans="1:20" ht="12.75">
      <c r="B30" s="123" t="s">
        <v>76</v>
      </c>
      <c r="C30" s="127">
        <v>9.81</v>
      </c>
      <c r="D30" s="25" t="s">
        <v>409</v>
      </c>
      <c r="E30" s="1"/>
      <c r="F30" s="107" t="s">
        <v>343</v>
      </c>
      <c r="G30" s="55" t="s">
        <v>38</v>
      </c>
      <c r="H30" s="55" t="s">
        <v>396</v>
      </c>
      <c r="I30" s="74">
        <f>IF(G30="Yes",IF(C104&gt;100,IF(O30,O30,C105*1000),0),0)</f>
        <v>1283324.8207034676</v>
      </c>
      <c r="J30" s="57">
        <f>IF(C104&lt;=100,0,IF(C47="Underground", IF(C107&lt;=80,IF(C106&lt;=2,'Cost Curves L-PSH'!B171,IF(AND(C106&gt;2,C106&lt;=3),'Cost Curves L-PSH'!C171,IF(AND(C106&gt;3,C106&lt;=4),'Cost Curves L-PSH'!D171,IF(C106&gt;4,'Cost Curves L-PSH'!E171)))),IF(AND(C107&gt;80,C107&lt;=125),IF(C106&lt;=2,'Cost Curves L-PSH'!L171,IF(AND(C106&gt;2,C106&lt;=3),'Cost Curves L-PSH'!M171,IF(AND(C106&gt;3,C106&lt;=4),'Cost Curves L-PSH'!N171,IF(C106&gt;4,'Cost Curves L-PSH'!O171)))),IF(AND(C107&gt;125,C107&lt;=225),IF(C106&lt;=2,'Cost Curves L-PSH'!V171,IF(AND(C106&gt;2,C106&lt;=3),'Cost Curves L-PSH'!W171,IF(AND(C106&gt;3,C106&lt;=4),'Cost Curves L-PSH'!X171,IF(C106&gt;4,'Cost Curves L-PSH'!Y171)))),IF(C107&gt;225,IF(C106&lt;=2,'Cost Curves L-PSH'!AF171,IF(AND(C106&gt;2,C106&lt;=3),'Cost Curves L-PSH'!AG171,IF(AND(C106&gt;3,C106&lt;=4),'Cost Curves L-PSH'!AH171,IF(C106&gt;4,'Cost Curves L-PSH'!AI171)))))))),IF(C47="Surface", IF(C107&lt;=80,IF(C106&lt;=2,'Cost Curves L-PSH'!B213,IF(AND(C106&gt;2,C106&lt;=3),'Cost Curves L-PSH'!C213,IF(AND(C106&gt;3,C106&lt;=4),'Cost Curves L-PSH'!D213,IF(C106&gt;4,'Cost Curves L-PSH'!E213)))),IF(AND(C107&gt;80,C107&lt;=125),IF(C106&lt;=2,'Cost Curves L-PSH'!L213,IF(AND(C106&gt;2,C106&lt;=3),'Cost Curves L-PSH'!M213,IF(AND(C106&gt;3,C106&lt;=4),'Cost Curves L-PSH'!N213,IF(C106&gt;4,'Cost Curves L-PSH'!O213)))),IF(AND(C107&gt;125,C107&lt;=225),IF(C106&lt;=2,'Cost Curves L-PSH'!V213,IF(AND(C106&gt;2,C106&lt;=3),'Cost Curves L-PSH'!W213,IF(AND(C106&gt;3,C106&lt;=4),'Cost Curves L-PSH'!X213,IF(C106&gt;4,'Cost Curves L-PSH'!Y213)))),IF(C107&gt;225,IF(C106&lt;=2,'Cost Curves L-PSH'!AF213,IF(AND(C106&gt;2,C106&lt;=3),'Cost Curves L-PSH'!AG213,IF(AND(C106&gt;3,C106&lt;=4),'Cost Curves L-PSH'!AH213,IF(C106&gt;4,'Cost Curves L-PSH'!AI213)))))))))))</f>
        <v>103.21475999999998</v>
      </c>
      <c r="K30" s="58">
        <f>VLOOKUP($C$9,'Locational Adj Factors'!$A$3:$B$55,2,FALSE)/100</f>
        <v>1</v>
      </c>
      <c r="L30" s="59">
        <f>IF($C$51="Yes",'Market Adj Factors'!$C$45,1)</f>
        <v>2.4063214260550976</v>
      </c>
      <c r="M30" s="59">
        <f>'Market Adj Factors'!C41</f>
        <v>1.7</v>
      </c>
      <c r="N30" s="57">
        <f>IF(P30,P30,J30*K30*L30*M30)</f>
        <v>422.22541040432878</v>
      </c>
      <c r="O30" s="61">
        <v>0</v>
      </c>
      <c r="P30" s="62">
        <v>0</v>
      </c>
      <c r="Q30" s="60">
        <f>N30*I30</f>
        <v>541852349.10358322</v>
      </c>
      <c r="R30" s="64">
        <f>Q30/$Q$52</f>
        <v>0.22956264337498453</v>
      </c>
      <c r="S30" s="69"/>
    </row>
    <row r="31" spans="1:20" ht="12.75">
      <c r="B31" s="123" t="s">
        <v>78</v>
      </c>
      <c r="C31" s="126">
        <v>1000</v>
      </c>
      <c r="D31" s="25" t="s">
        <v>410</v>
      </c>
      <c r="E31" s="1"/>
      <c r="F31" s="96"/>
      <c r="H31" s="55"/>
      <c r="I31" s="1"/>
      <c r="J31" s="57"/>
      <c r="K31" s="58"/>
      <c r="L31" s="59"/>
      <c r="M31" s="59"/>
      <c r="N31" s="57"/>
      <c r="O31" s="1"/>
      <c r="P31" s="1"/>
      <c r="Q31" s="1"/>
      <c r="R31" s="1"/>
      <c r="S31" s="67"/>
    </row>
    <row r="32" spans="1:20" ht="12.75">
      <c r="B32" s="123"/>
      <c r="C32" s="124"/>
      <c r="D32" s="25"/>
      <c r="E32" s="1"/>
      <c r="F32" s="54" t="s">
        <v>347</v>
      </c>
      <c r="H32" s="55"/>
      <c r="I32" s="1"/>
      <c r="J32" s="57"/>
      <c r="K32" s="58"/>
      <c r="L32" s="59"/>
      <c r="M32" s="59"/>
      <c r="N32" s="57"/>
      <c r="O32" s="1"/>
      <c r="P32" s="1"/>
      <c r="Q32" s="1"/>
      <c r="R32" s="1"/>
      <c r="S32" s="67"/>
    </row>
    <row r="33" spans="2:20" ht="12.75">
      <c r="B33" s="122" t="s">
        <v>411</v>
      </c>
      <c r="C33" s="123"/>
      <c r="D33" s="25"/>
      <c r="E33" s="1"/>
      <c r="F33" s="68" t="s">
        <v>349</v>
      </c>
      <c r="G33" s="55" t="s">
        <v>38</v>
      </c>
      <c r="H33" s="55" t="s">
        <v>412</v>
      </c>
      <c r="I33" s="1">
        <f>IF(G33="Yes",IF(O33,O33,C38),0)</f>
        <v>3.61</v>
      </c>
      <c r="J33" s="57">
        <f>INDEX('Cost Curves L-PSH'!W241:X243,MATCH('Cost Model L-PSH'!C35,'Cost Curves L-PSH'!V241:V243,0),MATCH('Cost Model L-PSH'!C36,'Cost Curves L-PSH'!W240:X240,0))</f>
        <v>189000</v>
      </c>
      <c r="K33" s="58">
        <f>VLOOKUP($C$9,'Locational Adj Factors'!$A$3:$B$55,2,FALSE)/100</f>
        <v>1</v>
      </c>
      <c r="L33" s="59">
        <f>IF($C$51="Yes",'Market Adj Factors'!$C$45,1)</f>
        <v>2.4063214260550976</v>
      </c>
      <c r="M33" s="59">
        <f>'Market Adj Factors'!C40</f>
        <v>1</v>
      </c>
      <c r="N33" s="57">
        <f>IF(P33,P33,J33*K33*L33*M33)</f>
        <v>454794.74952441343</v>
      </c>
      <c r="O33" s="61">
        <v>0</v>
      </c>
      <c r="P33" s="62">
        <v>0</v>
      </c>
      <c r="Q33" s="63">
        <f>N33*I33</f>
        <v>1641809.0457831325</v>
      </c>
      <c r="R33" s="64">
        <f>Q33/$Q$52</f>
        <v>6.955732961026384E-4</v>
      </c>
      <c r="S33" s="69">
        <f>SUM(R33:R35)</f>
        <v>1.8066276771063913E-2</v>
      </c>
      <c r="T33" s="106"/>
    </row>
    <row r="34" spans="2:20" ht="12.75">
      <c r="B34" s="123" t="s">
        <v>80</v>
      </c>
      <c r="C34" s="123" t="s">
        <v>413</v>
      </c>
      <c r="D34" s="25" t="s">
        <v>394</v>
      </c>
      <c r="E34" s="1"/>
      <c r="F34" s="68" t="s">
        <v>351</v>
      </c>
      <c r="G34" s="55" t="s">
        <v>38</v>
      </c>
      <c r="H34" s="55" t="s">
        <v>402</v>
      </c>
      <c r="I34" s="75">
        <f>IF(G34="Yes",IF(C47="Surface",0,IF(O34,O34,C39*5280)),0)</f>
        <v>6600</v>
      </c>
      <c r="J34" s="57">
        <f>IF(C47="Surface",0,'Cost Curves L-PSH'!D242)</f>
        <v>2555.8188374587603</v>
      </c>
      <c r="K34" s="58">
        <f>VLOOKUP($C$9,'Locational Adj Factors'!$A$3:$B$55,2,FALSE)/100</f>
        <v>1</v>
      </c>
      <c r="L34" s="59">
        <f>IF($C$51="Yes",'Market Adj Factors'!$C$45,1)</f>
        <v>2.4063214260550976</v>
      </c>
      <c r="M34" s="59">
        <f>'Market Adj Factors'!C39</f>
        <v>1</v>
      </c>
      <c r="N34" s="57">
        <f>IF(P34,P34,J34*K34*L34*M34)</f>
        <v>6150.1216296922457</v>
      </c>
      <c r="O34" s="61">
        <v>0</v>
      </c>
      <c r="P34" s="62">
        <v>0</v>
      </c>
      <c r="Q34" s="63">
        <f>N34*I34</f>
        <v>40590802.755968824</v>
      </c>
      <c r="R34" s="64">
        <f>Q34/$Q$52</f>
        <v>1.7196810150935618E-2</v>
      </c>
      <c r="S34" s="69"/>
    </row>
    <row r="35" spans="2:20" ht="12.75">
      <c r="B35" s="123" t="s">
        <v>82</v>
      </c>
      <c r="C35" s="123" t="s">
        <v>414</v>
      </c>
      <c r="D35" s="25" t="s">
        <v>394</v>
      </c>
      <c r="E35" s="1"/>
      <c r="F35" s="68" t="s">
        <v>86</v>
      </c>
      <c r="G35" s="55" t="s">
        <v>38</v>
      </c>
      <c r="H35" s="55" t="s">
        <v>415</v>
      </c>
      <c r="I35" s="93">
        <f>IF(G35="Yes",IF(C37="Yes",25%,0%),0)</f>
        <v>0.25</v>
      </c>
      <c r="J35" s="57"/>
      <c r="K35" s="58"/>
      <c r="L35" s="59"/>
      <c r="M35" s="59"/>
      <c r="N35" s="60"/>
      <c r="O35" s="71">
        <v>0</v>
      </c>
      <c r="P35" s="72" t="s">
        <v>400</v>
      </c>
      <c r="Q35" s="63">
        <f>Q33*I35</f>
        <v>410452.26144578314</v>
      </c>
      <c r="R35" s="64">
        <f>Q35/$Q$52</f>
        <v>1.738933240256596E-4</v>
      </c>
      <c r="S35" s="69"/>
      <c r="T35" s="106"/>
    </row>
    <row r="36" spans="2:20" ht="12.75">
      <c r="B36" s="123" t="s">
        <v>84</v>
      </c>
      <c r="C36" s="123" t="s">
        <v>416</v>
      </c>
      <c r="D36" s="25" t="s">
        <v>394</v>
      </c>
      <c r="E36" s="1"/>
      <c r="F36" s="52"/>
      <c r="H36" s="55"/>
      <c r="I36" s="1"/>
      <c r="J36" s="57"/>
      <c r="K36" s="58"/>
      <c r="L36" s="59"/>
      <c r="M36" s="59"/>
      <c r="N36" s="57"/>
      <c r="O36" s="1"/>
      <c r="P36" s="1"/>
      <c r="Q36" s="1"/>
      <c r="R36" s="1"/>
      <c r="S36" s="67"/>
    </row>
    <row r="37" spans="2:20" ht="12.75">
      <c r="B37" s="123" t="s">
        <v>86</v>
      </c>
      <c r="C37" s="123" t="s">
        <v>38</v>
      </c>
      <c r="D37" s="24" t="s">
        <v>394</v>
      </c>
      <c r="E37" s="1"/>
      <c r="F37" s="54" t="s">
        <v>358</v>
      </c>
      <c r="G37" s="55" t="s">
        <v>38</v>
      </c>
      <c r="H37" s="55" t="s">
        <v>399</v>
      </c>
      <c r="I37" s="1">
        <f>IF(G37="Yes",1,0)</f>
        <v>1</v>
      </c>
      <c r="J37" s="57">
        <f>'Cost Curves L-PSH'!Q248*1000000</f>
        <v>16726800</v>
      </c>
      <c r="K37" s="58">
        <f>VLOOKUP($C$9,'Locational Adj Factors'!$A$3:$B$55,2,FALSE)/100</f>
        <v>1</v>
      </c>
      <c r="L37" s="59">
        <f>IF($C$51="Yes",'Market Adj Factors'!$C$45,1)</f>
        <v>2.4063214260550976</v>
      </c>
      <c r="M37" s="59">
        <f>'Market Adj Factors'!C43</f>
        <v>1</v>
      </c>
      <c r="N37" s="57">
        <f>IF(P37,P37,J37*K37*L37*M37)</f>
        <v>40250057.229338408</v>
      </c>
      <c r="O37" s="61">
        <v>0</v>
      </c>
      <c r="P37" s="62">
        <v>0</v>
      </c>
      <c r="Q37" s="63">
        <f>N37*I37</f>
        <v>40250057.229338408</v>
      </c>
      <c r="R37" s="64">
        <f>Q37/$Q$52</f>
        <v>1.705244897221066E-2</v>
      </c>
      <c r="S37" s="65">
        <f>R37</f>
        <v>1.705244897221066E-2</v>
      </c>
    </row>
    <row r="38" spans="2:20" ht="12.75">
      <c r="B38" s="123" t="s">
        <v>88</v>
      </c>
      <c r="C38" s="123">
        <v>3.61</v>
      </c>
      <c r="D38" s="25" t="s">
        <v>405</v>
      </c>
      <c r="E38" s="1"/>
      <c r="F38" s="52"/>
      <c r="H38" s="55"/>
      <c r="I38" s="1"/>
      <c r="J38" s="57"/>
      <c r="K38" s="58"/>
      <c r="L38" s="59"/>
      <c r="M38" s="59"/>
      <c r="N38" s="57"/>
      <c r="O38" s="1"/>
      <c r="P38" s="1"/>
      <c r="Q38" s="1"/>
      <c r="R38" s="1"/>
      <c r="S38" s="67"/>
    </row>
    <row r="39" spans="2:20" ht="12.75">
      <c r="B39" s="123" t="s">
        <v>91</v>
      </c>
      <c r="C39" s="123">
        <v>1.25</v>
      </c>
      <c r="D39" s="25" t="s">
        <v>405</v>
      </c>
      <c r="E39" s="1"/>
      <c r="F39" s="54" t="s">
        <v>362</v>
      </c>
      <c r="G39" s="55" t="s">
        <v>38</v>
      </c>
      <c r="H39" s="55" t="s">
        <v>412</v>
      </c>
      <c r="I39" s="1">
        <f>IF(G39="Yes",C61,0)</f>
        <v>13.5</v>
      </c>
      <c r="J39" s="57">
        <f>'Cost Curves L-PSH'!G303*1000*C117*C118</f>
        <v>1150309.0889322748</v>
      </c>
      <c r="K39" s="58">
        <f>VLOOKUP($C$9,'Locational Adj Factors'!$A$3:$B$55,2,FALSE)/100</f>
        <v>1</v>
      </c>
      <c r="L39" s="59">
        <f>IF($C$51="Yes",'Market Adj Factors'!$C$45,1)</f>
        <v>2.4063214260550976</v>
      </c>
      <c r="M39" s="59">
        <f>'Market Adj Factors'!C42</f>
        <v>1.3</v>
      </c>
      <c r="N39" s="57">
        <f>IF(P39,P39,J39*K39*L39*M39)</f>
        <v>3598417.4294687472</v>
      </c>
      <c r="O39" s="61">
        <v>0</v>
      </c>
      <c r="P39" s="76">
        <v>0</v>
      </c>
      <c r="Q39" s="63">
        <f>N39*I39</f>
        <v>48578635.297828086</v>
      </c>
      <c r="R39" s="64">
        <f>Q39/$Q$52</f>
        <v>2.0580957061398477E-2</v>
      </c>
      <c r="S39" s="65">
        <f>R39</f>
        <v>2.0580957061398477E-2</v>
      </c>
    </row>
    <row r="40" spans="2:20" ht="12.75">
      <c r="B40" s="113" t="s">
        <v>417</v>
      </c>
      <c r="C40" s="123" t="s">
        <v>14</v>
      </c>
      <c r="D40" s="25" t="s">
        <v>394</v>
      </c>
      <c r="E40" s="1"/>
      <c r="F40" s="52"/>
      <c r="H40" s="55"/>
      <c r="I40" s="1"/>
      <c r="N40" s="1"/>
      <c r="O40" s="1"/>
      <c r="P40" s="1"/>
      <c r="Q40" s="1"/>
      <c r="R40" s="1"/>
      <c r="S40" s="77"/>
    </row>
    <row r="41" spans="2:20" ht="12.75">
      <c r="B41" s="113" t="s">
        <v>418</v>
      </c>
      <c r="C41" s="123">
        <v>200</v>
      </c>
      <c r="D41" s="25" t="s">
        <v>419</v>
      </c>
      <c r="E41" s="1"/>
      <c r="F41" s="54" t="s">
        <v>366</v>
      </c>
      <c r="H41" s="55"/>
      <c r="I41" s="1"/>
      <c r="N41" s="1"/>
      <c r="O41" s="1"/>
      <c r="P41" s="1"/>
      <c r="Q41" s="1"/>
      <c r="R41" s="1"/>
      <c r="S41" s="77"/>
    </row>
    <row r="42" spans="2:20" ht="12.75">
      <c r="B42" s="113"/>
      <c r="C42" s="123"/>
      <c r="D42" s="25"/>
      <c r="F42" s="68" t="s">
        <v>94</v>
      </c>
      <c r="G42" s="55" t="s">
        <v>38</v>
      </c>
      <c r="H42" s="55" t="s">
        <v>396</v>
      </c>
      <c r="I42" s="74">
        <f>IF(G42="Yes",IF(C40="Yes",C105*1000,0),0)</f>
        <v>0</v>
      </c>
      <c r="J42" s="57">
        <f>C41</f>
        <v>200</v>
      </c>
      <c r="K42" s="58">
        <f>VLOOKUP($C$9,'Locational Adj Factors'!$A$3:$B$55,2,FALSE)/100</f>
        <v>1</v>
      </c>
      <c r="L42" s="59">
        <v>1</v>
      </c>
      <c r="M42" s="59">
        <v>1</v>
      </c>
      <c r="N42" s="57">
        <f>IF(P42,P42,J42*K42*L42*M42)</f>
        <v>200</v>
      </c>
      <c r="O42" s="61">
        <v>0</v>
      </c>
      <c r="P42" s="76">
        <v>0</v>
      </c>
      <c r="Q42" s="63">
        <f>N42*I42</f>
        <v>0</v>
      </c>
      <c r="R42" s="64">
        <f t="shared" ref="R42" si="4">Q42/$Q$52</f>
        <v>0</v>
      </c>
      <c r="S42" s="65">
        <f>SUM(R42:R43)</f>
        <v>0</v>
      </c>
    </row>
    <row r="43" spans="2:20" ht="12.75">
      <c r="B43" s="122" t="s">
        <v>420</v>
      </c>
      <c r="C43" s="123"/>
      <c r="D43" s="25"/>
      <c r="F43" s="68"/>
      <c r="G43" s="55"/>
      <c r="H43" s="55"/>
      <c r="I43" s="74"/>
      <c r="J43" s="57"/>
      <c r="K43" s="58"/>
      <c r="L43" s="59"/>
      <c r="M43" s="59"/>
      <c r="N43" s="57"/>
      <c r="O43" s="1"/>
      <c r="P43" s="1"/>
      <c r="Q43" s="63"/>
      <c r="R43" s="64"/>
      <c r="S43" s="77"/>
    </row>
    <row r="44" spans="2:20" ht="12.75">
      <c r="B44" s="123" t="s">
        <v>98</v>
      </c>
      <c r="C44" s="123" t="s">
        <v>421</v>
      </c>
      <c r="D44" s="25" t="s">
        <v>394</v>
      </c>
      <c r="F44" s="54" t="s">
        <v>370</v>
      </c>
      <c r="H44" s="55"/>
      <c r="I44" s="1"/>
      <c r="N44" s="1"/>
      <c r="O44" s="1"/>
      <c r="P44" s="1"/>
      <c r="Q44" s="1"/>
      <c r="R44" s="1"/>
      <c r="S44" s="77"/>
    </row>
    <row r="45" spans="2:20" ht="12.75">
      <c r="B45" s="123" t="s">
        <v>101</v>
      </c>
      <c r="C45" s="123" t="s">
        <v>422</v>
      </c>
      <c r="D45" s="25" t="s">
        <v>394</v>
      </c>
      <c r="F45" s="68" t="s">
        <v>116</v>
      </c>
      <c r="G45" s="55" t="s">
        <v>38</v>
      </c>
      <c r="H45" s="55" t="s">
        <v>415</v>
      </c>
      <c r="I45" s="78">
        <f>IF(G45="Yes",IF(O45,O45,C52),0)</f>
        <v>0.05</v>
      </c>
      <c r="O45" s="71">
        <v>0</v>
      </c>
      <c r="P45" s="72" t="s">
        <v>400</v>
      </c>
      <c r="Q45" s="60">
        <f>I45*SUM(Q8:Q42)</f>
        <v>65932070.894610733</v>
      </c>
      <c r="R45" s="64">
        <f t="shared" ref="R45:R50" si="5">Q45/$Q$52</f>
        <v>2.7932960893854747E-2</v>
      </c>
      <c r="S45" s="69">
        <f>SUM(R45:R50)</f>
        <v>0.44134078212290501</v>
      </c>
      <c r="T45" s="106"/>
    </row>
    <row r="46" spans="2:20" ht="12.75">
      <c r="B46" s="123" t="s">
        <v>423</v>
      </c>
      <c r="C46" s="123" t="s">
        <v>424</v>
      </c>
      <c r="D46" s="25" t="s">
        <v>394</v>
      </c>
      <c r="F46" s="68" t="s">
        <v>118</v>
      </c>
      <c r="G46" s="55" t="s">
        <v>38</v>
      </c>
      <c r="H46" s="55" t="s">
        <v>415</v>
      </c>
      <c r="I46" s="78">
        <f>IF(G46="Yes",IF(O46,O46,C54),0)</f>
        <v>0.06</v>
      </c>
      <c r="N46" s="1"/>
      <c r="O46" s="71">
        <v>0</v>
      </c>
      <c r="P46" s="72" t="s">
        <v>400</v>
      </c>
      <c r="Q46" s="60">
        <f>I46*C53*SUM(Q8:Q42)</f>
        <v>79118485.073532864</v>
      </c>
      <c r="R46" s="64">
        <f t="shared" si="5"/>
        <v>3.3519553072625691E-2</v>
      </c>
      <c r="S46" s="53"/>
    </row>
    <row r="47" spans="2:20" ht="12.75">
      <c r="B47" s="123" t="s">
        <v>106</v>
      </c>
      <c r="C47" s="123" t="s">
        <v>425</v>
      </c>
      <c r="D47" s="25" t="s">
        <v>394</v>
      </c>
      <c r="F47" s="68" t="s">
        <v>120</v>
      </c>
      <c r="G47" s="55" t="s">
        <v>38</v>
      </c>
      <c r="H47" s="55" t="s">
        <v>415</v>
      </c>
      <c r="I47" s="78">
        <f>IF(G47="Yes",IF(O47,O47,C55),0)</f>
        <v>0.33</v>
      </c>
      <c r="N47" s="1"/>
      <c r="O47" s="71">
        <v>0</v>
      </c>
      <c r="P47" s="72" t="s">
        <v>400</v>
      </c>
      <c r="Q47" s="63">
        <f>SUM(Q8:Q42)*I47</f>
        <v>435151667.90443081</v>
      </c>
      <c r="R47" s="64">
        <f t="shared" si="5"/>
        <v>0.18435754189944131</v>
      </c>
      <c r="S47" s="69"/>
    </row>
    <row r="48" spans="2:20" ht="12.75">
      <c r="B48" s="123" t="s">
        <v>109</v>
      </c>
      <c r="C48" s="123" t="s">
        <v>425</v>
      </c>
      <c r="D48" s="25" t="s">
        <v>394</v>
      </c>
      <c r="F48" s="68" t="s">
        <v>122</v>
      </c>
      <c r="G48" s="55" t="s">
        <v>38</v>
      </c>
      <c r="H48" s="55" t="s">
        <v>415</v>
      </c>
      <c r="I48" s="78">
        <f>IF(G48="Yes",IF(O48,O48,C56),0)</f>
        <v>0.25</v>
      </c>
      <c r="N48" s="1"/>
      <c r="O48" s="71">
        <v>0</v>
      </c>
      <c r="P48" s="72" t="s">
        <v>400</v>
      </c>
      <c r="Q48" s="63">
        <f>I48*C53*SUM(Q8:Q42)</f>
        <v>329660354.47305363</v>
      </c>
      <c r="R48" s="64">
        <f t="shared" si="5"/>
        <v>0.13966480446927373</v>
      </c>
      <c r="S48" s="69"/>
    </row>
    <row r="49" spans="2:25" ht="12.75">
      <c r="B49" s="123"/>
      <c r="C49" s="123"/>
      <c r="D49" s="25"/>
      <c r="F49" s="68" t="s">
        <v>124</v>
      </c>
      <c r="G49" s="55" t="s">
        <v>38</v>
      </c>
      <c r="H49" s="55" t="s">
        <v>415</v>
      </c>
      <c r="I49" s="78">
        <f>IF(G49="Yes",IF(O49,O49,C57),0)</f>
        <v>0.03</v>
      </c>
      <c r="N49" s="1"/>
      <c r="O49" s="71">
        <v>0</v>
      </c>
      <c r="P49" s="72" t="s">
        <v>400</v>
      </c>
      <c r="Q49" s="63">
        <f>SUM(Q8:Q42)*I49</f>
        <v>39559242.536766432</v>
      </c>
      <c r="R49" s="64">
        <f t="shared" si="5"/>
        <v>1.6759776536312845E-2</v>
      </c>
      <c r="S49" s="69"/>
    </row>
    <row r="50" spans="2:25" ht="12.75">
      <c r="B50" s="122" t="s">
        <v>426</v>
      </c>
      <c r="C50" s="128"/>
      <c r="D50" s="33"/>
      <c r="F50" s="68" t="s">
        <v>377</v>
      </c>
      <c r="G50" s="55" t="s">
        <v>38</v>
      </c>
      <c r="H50" s="55" t="s">
        <v>415</v>
      </c>
      <c r="I50" s="78">
        <f>IF(G50="Yes",IF(O50,O50,C58),0)</f>
        <v>7.0000000000000007E-2</v>
      </c>
      <c r="N50" s="1"/>
      <c r="O50" s="71">
        <v>0</v>
      </c>
      <c r="P50" s="72" t="s">
        <v>400</v>
      </c>
      <c r="Q50" s="63">
        <f>SUM(Q8:Q42)*I50*C53</f>
        <v>92304899.252455026</v>
      </c>
      <c r="R50" s="64">
        <f t="shared" si="5"/>
        <v>3.9106145251396648E-2</v>
      </c>
      <c r="S50" s="69"/>
    </row>
    <row r="51" spans="2:25" ht="12.75">
      <c r="B51" s="123" t="s">
        <v>112</v>
      </c>
      <c r="C51" s="123" t="s">
        <v>38</v>
      </c>
      <c r="D51" s="25" t="s">
        <v>394</v>
      </c>
      <c r="F51" s="52"/>
      <c r="H51" s="1"/>
      <c r="I51" s="1"/>
      <c r="N51" s="1"/>
      <c r="O51" s="1"/>
      <c r="P51" s="1"/>
      <c r="Q51" s="1"/>
      <c r="S51" s="53"/>
    </row>
    <row r="52" spans="2:25" ht="12.75">
      <c r="B52" s="113" t="s">
        <v>427</v>
      </c>
      <c r="C52" s="129">
        <v>0.05</v>
      </c>
      <c r="D52" s="25" t="s">
        <v>415</v>
      </c>
      <c r="F52" s="79" t="s">
        <v>379</v>
      </c>
      <c r="G52" s="80"/>
      <c r="H52" s="80"/>
      <c r="I52" s="81"/>
      <c r="J52" s="80"/>
      <c r="K52" s="80"/>
      <c r="L52" s="80"/>
      <c r="M52" s="80"/>
      <c r="N52" s="81"/>
      <c r="O52" s="81"/>
      <c r="P52" s="81"/>
      <c r="Q52" s="82">
        <f>SUM(Q8:Q50)</f>
        <v>2360368138.0270643</v>
      </c>
      <c r="R52" s="83">
        <f>SUM(R8:R50)</f>
        <v>1</v>
      </c>
      <c r="S52" s="84">
        <f>SUM(S8:S50)</f>
        <v>1</v>
      </c>
    </row>
    <row r="53" spans="2:25" ht="12.75">
      <c r="B53" s="113" t="s">
        <v>428</v>
      </c>
      <c r="C53" s="129">
        <v>1</v>
      </c>
      <c r="D53" s="25" t="s">
        <v>415</v>
      </c>
      <c r="J53" s="1"/>
      <c r="K53" s="1"/>
      <c r="L53" s="1"/>
      <c r="M53" s="1"/>
      <c r="N53" s="1"/>
      <c r="O53" s="1"/>
      <c r="P53" s="1"/>
      <c r="W53" s="106"/>
    </row>
    <row r="54" spans="2:25" ht="15.75">
      <c r="B54" s="123" t="s">
        <v>429</v>
      </c>
      <c r="C54" s="129">
        <v>0.06</v>
      </c>
      <c r="D54" s="25" t="s">
        <v>415</v>
      </c>
      <c r="F54" s="47" t="s">
        <v>430</v>
      </c>
      <c r="G54" s="85"/>
      <c r="J54" s="1"/>
      <c r="K54" s="1"/>
      <c r="L54" s="1"/>
      <c r="M54" s="1"/>
      <c r="N54" s="1"/>
      <c r="O54" s="1"/>
      <c r="P54" s="1"/>
      <c r="Q54" s="106"/>
    </row>
    <row r="55" spans="2:25" ht="12.75">
      <c r="B55" s="113" t="s">
        <v>431</v>
      </c>
      <c r="C55" s="129">
        <v>0.33</v>
      </c>
      <c r="D55" s="25" t="s">
        <v>415</v>
      </c>
      <c r="F55" s="54" t="s">
        <v>432</v>
      </c>
      <c r="G55" s="86">
        <f>Q52</f>
        <v>2360368138.0270643</v>
      </c>
      <c r="J55" s="1"/>
      <c r="K55" s="1"/>
      <c r="L55" s="1"/>
      <c r="M55" s="1"/>
      <c r="N55" s="1"/>
      <c r="O55" s="1"/>
      <c r="P55" s="1"/>
    </row>
    <row r="56" spans="2:25" ht="12.75">
      <c r="B56" s="113" t="s">
        <v>433</v>
      </c>
      <c r="C56" s="129">
        <v>0.25</v>
      </c>
      <c r="D56" s="25" t="s">
        <v>415</v>
      </c>
      <c r="F56" s="54" t="s">
        <v>381</v>
      </c>
      <c r="G56" s="86">
        <f>G55/(C105*1000)</f>
        <v>1839.2600999746926</v>
      </c>
      <c r="J56" s="1"/>
      <c r="K56" s="1"/>
      <c r="L56" s="1"/>
      <c r="M56" s="1"/>
      <c r="N56" s="1"/>
      <c r="O56" s="1"/>
      <c r="P56" s="1"/>
    </row>
    <row r="57" spans="2:25" s="3" customFormat="1" ht="14.1" customHeight="1">
      <c r="B57" s="123" t="s">
        <v>434</v>
      </c>
      <c r="C57" s="129">
        <v>0.03</v>
      </c>
      <c r="D57" s="25" t="s">
        <v>415</v>
      </c>
      <c r="F57" s="79" t="s">
        <v>383</v>
      </c>
      <c r="G57" s="87">
        <f>G55/(C105*C21*1000)</f>
        <v>99.419464863496898</v>
      </c>
      <c r="H57"/>
      <c r="I57"/>
      <c r="J57" s="1"/>
      <c r="K57" s="1"/>
      <c r="L57" s="1"/>
      <c r="M57" s="1"/>
      <c r="N57" s="1"/>
      <c r="O57" s="1"/>
      <c r="P57" s="1"/>
      <c r="Q57"/>
      <c r="R57"/>
      <c r="S57"/>
      <c r="T57"/>
      <c r="U57"/>
      <c r="V57"/>
      <c r="W57"/>
      <c r="X57"/>
    </row>
    <row r="58" spans="2:25" ht="12.75">
      <c r="B58" s="123" t="s">
        <v>435</v>
      </c>
      <c r="C58" s="129">
        <v>7.0000000000000007E-2</v>
      </c>
      <c r="D58" s="25" t="s">
        <v>415</v>
      </c>
    </row>
    <row r="59" spans="2:25">
      <c r="B59" s="128"/>
      <c r="C59" s="128"/>
      <c r="D59" s="33"/>
    </row>
    <row r="60" spans="2:25" ht="12.75">
      <c r="B60" s="122" t="s">
        <v>436</v>
      </c>
      <c r="C60" s="128"/>
      <c r="D60" s="33"/>
      <c r="F60" s="19"/>
    </row>
    <row r="61" spans="2:25" ht="12.75">
      <c r="B61" s="113" t="s">
        <v>437</v>
      </c>
      <c r="C61" s="123">
        <v>13.5</v>
      </c>
      <c r="D61" s="25" t="s">
        <v>405</v>
      </c>
      <c r="F61" s="19"/>
      <c r="Y61" s="3"/>
    </row>
    <row r="62" spans="2:25" ht="12.75">
      <c r="B62" s="123" t="s">
        <v>438</v>
      </c>
      <c r="C62" s="123">
        <v>500</v>
      </c>
      <c r="D62" s="25" t="s">
        <v>439</v>
      </c>
    </row>
    <row r="63" spans="2:25" ht="12.75">
      <c r="B63" s="113" t="s">
        <v>440</v>
      </c>
      <c r="C63" s="123">
        <v>500</v>
      </c>
      <c r="D63" s="25" t="s">
        <v>439</v>
      </c>
    </row>
    <row r="64" spans="2:25" ht="12.75">
      <c r="B64" s="113" t="s">
        <v>441</v>
      </c>
      <c r="C64" s="123" t="s">
        <v>442</v>
      </c>
      <c r="D64" s="25" t="s">
        <v>394</v>
      </c>
    </row>
    <row r="65" spans="2:4" ht="12.75">
      <c r="B65" s="113" t="s">
        <v>443</v>
      </c>
      <c r="C65" s="123" t="s">
        <v>444</v>
      </c>
      <c r="D65" s="25" t="s">
        <v>394</v>
      </c>
    </row>
    <row r="66" spans="2:4" ht="12.75">
      <c r="B66" s="113"/>
      <c r="C66" s="127"/>
      <c r="D66" s="25"/>
    </row>
    <row r="67" spans="2:4" ht="12.75">
      <c r="B67" s="122" t="s">
        <v>426</v>
      </c>
      <c r="C67" s="123"/>
      <c r="D67" s="24"/>
    </row>
    <row r="68" spans="2:4" ht="15" customHeight="1">
      <c r="B68" s="123" t="s">
        <v>445</v>
      </c>
      <c r="C68" s="129">
        <v>0.85</v>
      </c>
      <c r="D68" s="30" t="s">
        <v>446</v>
      </c>
    </row>
    <row r="69" spans="2:4" ht="14.1" customHeight="1">
      <c r="B69" s="113" t="s">
        <v>447</v>
      </c>
      <c r="C69" s="127">
        <v>0.7</v>
      </c>
      <c r="D69" s="25" t="s">
        <v>394</v>
      </c>
    </row>
    <row r="70" spans="2:4" ht="11.25" customHeight="1">
      <c r="B70" s="113" t="s">
        <v>448</v>
      </c>
      <c r="C70" s="123">
        <v>90</v>
      </c>
      <c r="D70" s="25" t="s">
        <v>394</v>
      </c>
    </row>
    <row r="71" spans="2:4" ht="11.25" customHeight="1">
      <c r="B71" s="113" t="s">
        <v>449</v>
      </c>
      <c r="C71" s="130">
        <v>0.88</v>
      </c>
      <c r="D71" s="25" t="s">
        <v>415</v>
      </c>
    </row>
    <row r="72" spans="2:4" ht="12" customHeight="1">
      <c r="B72" s="113" t="s">
        <v>450</v>
      </c>
      <c r="C72" s="123">
        <v>23</v>
      </c>
      <c r="D72" s="114" t="s">
        <v>451</v>
      </c>
    </row>
    <row r="73" spans="2:4" ht="12" customHeight="1">
      <c r="B73" s="113" t="s">
        <v>452</v>
      </c>
      <c r="C73" s="123">
        <v>35</v>
      </c>
      <c r="D73" s="114" t="s">
        <v>395</v>
      </c>
    </row>
    <row r="74" spans="2:4" ht="12" customHeight="1">
      <c r="B74" s="113" t="s">
        <v>453</v>
      </c>
      <c r="C74" s="123">
        <v>350</v>
      </c>
      <c r="D74" s="25" t="s">
        <v>454</v>
      </c>
    </row>
    <row r="75" spans="2:4" ht="15" customHeight="1">
      <c r="B75" s="113" t="s">
        <v>455</v>
      </c>
      <c r="C75" s="123">
        <v>2</v>
      </c>
      <c r="D75" s="25" t="s">
        <v>394</v>
      </c>
    </row>
    <row r="76" spans="2:4" ht="11.1" customHeight="1">
      <c r="B76" s="113" t="s">
        <v>456</v>
      </c>
      <c r="C76" s="127">
        <f>12/10</f>
        <v>1.2</v>
      </c>
      <c r="D76" s="30" t="s">
        <v>457</v>
      </c>
    </row>
    <row r="77" spans="2:4" ht="12.75">
      <c r="B77" s="113"/>
      <c r="C77" s="127"/>
      <c r="D77" s="30"/>
    </row>
    <row r="78" spans="2:4" ht="41.1" customHeight="1">
      <c r="B78" s="154" t="s">
        <v>160</v>
      </c>
      <c r="C78" s="154"/>
      <c r="D78" s="154"/>
    </row>
    <row r="79" spans="2:4" ht="12.75">
      <c r="B79" s="131" t="s">
        <v>426</v>
      </c>
      <c r="C79" s="132"/>
      <c r="D79" s="36"/>
    </row>
    <row r="80" spans="2:4" ht="12.75">
      <c r="B80" s="111" t="s">
        <v>159</v>
      </c>
      <c r="C80" s="133">
        <f>C15*C25</f>
        <v>2.726137236</v>
      </c>
      <c r="D80" s="27" t="s">
        <v>405</v>
      </c>
    </row>
    <row r="81" spans="2:4" ht="12.75">
      <c r="B81" s="111" t="s">
        <v>458</v>
      </c>
      <c r="C81" s="111">
        <f>C11*C10</f>
        <v>19291</v>
      </c>
      <c r="D81" s="27" t="s">
        <v>459</v>
      </c>
    </row>
    <row r="82" spans="2:4" ht="12.75">
      <c r="B82" s="111" t="s">
        <v>460</v>
      </c>
      <c r="C82" s="111">
        <f>C13*C12</f>
        <v>19560</v>
      </c>
      <c r="D82" s="27" t="s">
        <v>459</v>
      </c>
    </row>
    <row r="83" spans="2:4" ht="12.75">
      <c r="B83" s="111" t="s">
        <v>461</v>
      </c>
      <c r="C83" s="111">
        <f>(0.00009*(C16)^2 + 0.0039*C16 + 0.0707)*1000*C17</f>
        <v>2385110</v>
      </c>
      <c r="D83" s="27" t="s">
        <v>398</v>
      </c>
    </row>
    <row r="84" spans="2:4" ht="12.75">
      <c r="B84" s="111" t="s">
        <v>462</v>
      </c>
      <c r="C84" s="111">
        <f>(0.00009*(C18)^2 + 0.0039*C18 + 0.0707)*1000*C19</f>
        <v>691570</v>
      </c>
      <c r="D84" s="27" t="s">
        <v>398</v>
      </c>
    </row>
    <row r="85" spans="2:4" ht="12.75">
      <c r="B85" s="111" t="s">
        <v>445</v>
      </c>
      <c r="C85" s="111">
        <f>C68*C81</f>
        <v>16397.349999999999</v>
      </c>
      <c r="D85" s="27" t="s">
        <v>459</v>
      </c>
    </row>
    <row r="86" spans="2:4" ht="12.75">
      <c r="B86" s="111" t="s">
        <v>463</v>
      </c>
      <c r="C86" s="115">
        <f>C104*C21</f>
        <v>18593.071424433329</v>
      </c>
      <c r="D86" s="27" t="s">
        <v>464</v>
      </c>
    </row>
    <row r="87" spans="2:4" ht="12.75">
      <c r="B87" s="112" t="s">
        <v>465</v>
      </c>
      <c r="C87" s="115">
        <f>C85*C26/C21/C28</f>
        <v>10724.728622597597</v>
      </c>
      <c r="D87" s="27" t="s">
        <v>466</v>
      </c>
    </row>
    <row r="88" spans="2:4" ht="12.75">
      <c r="B88" s="112" t="s">
        <v>467</v>
      </c>
      <c r="C88" s="111">
        <f>C69*C14</f>
        <v>1092</v>
      </c>
      <c r="D88" s="27" t="s">
        <v>395</v>
      </c>
    </row>
    <row r="89" spans="2:4" ht="12.75">
      <c r="B89" s="112" t="s">
        <v>468</v>
      </c>
      <c r="C89" s="111">
        <f>(C88+C14)/2</f>
        <v>1326</v>
      </c>
      <c r="D89" s="27" t="s">
        <v>395</v>
      </c>
    </row>
    <row r="90" spans="2:4" ht="12.75">
      <c r="B90" s="112" t="s">
        <v>469</v>
      </c>
      <c r="C90" s="115">
        <f>(C88/C$89)^0.5*C$87</f>
        <v>9732.5326381559316</v>
      </c>
      <c r="D90" s="27" t="s">
        <v>466</v>
      </c>
    </row>
    <row r="91" spans="2:4" ht="12.75">
      <c r="B91" s="112" t="s">
        <v>470</v>
      </c>
      <c r="C91" s="115">
        <f>(C14/C$89)^0.5*C$87</f>
        <v>11632.601450404713</v>
      </c>
      <c r="D91" s="27" t="s">
        <v>466</v>
      </c>
    </row>
    <row r="92" spans="2:4" ht="12.75">
      <c r="B92" s="112" t="s">
        <v>471</v>
      </c>
      <c r="C92" s="134">
        <f>((C91/C72)*4/PI())^0.5</f>
        <v>25.376373961345202</v>
      </c>
      <c r="D92" s="27" t="s">
        <v>395</v>
      </c>
    </row>
    <row r="93" spans="2:4" ht="12.75">
      <c r="B93" s="112" t="s">
        <v>472</v>
      </c>
      <c r="C93" s="111">
        <f>IF(C92&lt;C73,1,2)</f>
        <v>1</v>
      </c>
      <c r="D93" s="27" t="s">
        <v>394</v>
      </c>
    </row>
    <row r="94" spans="2:4" ht="12.75">
      <c r="B94" s="112" t="s">
        <v>473</v>
      </c>
      <c r="C94" s="134">
        <f>((C91/C93/C72)*4/PI())^0.5</f>
        <v>25.376373961345202</v>
      </c>
      <c r="D94" s="27" t="s">
        <v>395</v>
      </c>
    </row>
    <row r="95" spans="2:4" ht="12.75">
      <c r="B95" s="112" t="s">
        <v>474</v>
      </c>
      <c r="C95" s="134">
        <f>C15/C89</f>
        <v>10.855203619909503</v>
      </c>
      <c r="D95" s="27" t="s">
        <v>394</v>
      </c>
    </row>
    <row r="96" spans="2:4" ht="12.75">
      <c r="B96" s="111" t="s">
        <v>193</v>
      </c>
      <c r="C96" s="111" t="str">
        <f>IF(C95&gt;=7,"Yes","No")</f>
        <v>Yes</v>
      </c>
      <c r="D96" s="27" t="s">
        <v>394</v>
      </c>
    </row>
    <row r="97" spans="2:5" ht="12.75">
      <c r="B97" s="112" t="s">
        <v>475</v>
      </c>
      <c r="C97" s="134">
        <f>4.73*C90^1.85/C$70^1.85/C$94^4.87*C$15</f>
        <v>57.061064442997058</v>
      </c>
      <c r="D97" s="27" t="s">
        <v>395</v>
      </c>
    </row>
    <row r="98" spans="2:5" ht="12.75">
      <c r="B98" s="112" t="s">
        <v>476</v>
      </c>
      <c r="C98" s="134">
        <f>4.73*C87^1.85/C$70^1.85/C$94^4.87*C$15</f>
        <v>68.286788451324824</v>
      </c>
      <c r="D98" s="27" t="s">
        <v>395</v>
      </c>
    </row>
    <row r="99" spans="2:5" ht="12.75">
      <c r="B99" s="112" t="s">
        <v>477</v>
      </c>
      <c r="C99" s="134">
        <f>4.73*C91^1.85/C$70^1.85/C$94^4.87*C$15</f>
        <v>79.364115762348916</v>
      </c>
      <c r="D99" s="27" t="s">
        <v>395</v>
      </c>
    </row>
    <row r="100" spans="2:5" ht="12.75">
      <c r="B100" s="112" t="s">
        <v>478</v>
      </c>
      <c r="C100" s="115">
        <f>C88-C97</f>
        <v>1034.9389355570029</v>
      </c>
      <c r="D100" s="27" t="s">
        <v>395</v>
      </c>
    </row>
    <row r="101" spans="2:5" ht="12.75">
      <c r="B101" s="112" t="s">
        <v>479</v>
      </c>
      <c r="C101" s="115">
        <f>C89-C98</f>
        <v>1257.7132115486752</v>
      </c>
      <c r="D101" s="27" t="s">
        <v>395</v>
      </c>
    </row>
    <row r="102" spans="2:5" ht="12.75">
      <c r="B102" s="112" t="s">
        <v>480</v>
      </c>
      <c r="C102" s="115">
        <f>C$14-C99</f>
        <v>1480.635884237651</v>
      </c>
      <c r="D102" s="27" t="s">
        <v>395</v>
      </c>
    </row>
    <row r="103" spans="2:5" ht="12.75">
      <c r="B103" s="112" t="s">
        <v>481</v>
      </c>
      <c r="C103" s="134">
        <f>C90*C100*C$71*$C$30*$C$31/$C$29*(1/C24)^4</f>
        <v>750.5023722078306</v>
      </c>
      <c r="D103" s="27" t="s">
        <v>454</v>
      </c>
    </row>
    <row r="104" spans="2:5" ht="12.75">
      <c r="B104" s="112" t="s">
        <v>482</v>
      </c>
      <c r="C104" s="134">
        <f>C87*C101*C$71*$C$30*$C$31/$C$29*(1/C24)^4</f>
        <v>1005.030887807207</v>
      </c>
      <c r="D104" s="27" t="s">
        <v>454</v>
      </c>
    </row>
    <row r="105" spans="2:5" ht="12.75">
      <c r="B105" s="112" t="s">
        <v>483</v>
      </c>
      <c r="C105" s="134">
        <f>C91*C102*C$71*$C$30*$C$31/$C$29*(1/C24)^4</f>
        <v>1283.3248207034676</v>
      </c>
      <c r="D105" s="27" t="s">
        <v>454</v>
      </c>
      <c r="E105" s="20"/>
    </row>
    <row r="106" spans="2:5" ht="12.75">
      <c r="B106" s="112" t="s">
        <v>484</v>
      </c>
      <c r="C106" s="115">
        <f>IF(C105/C74&lt;=C75,C75,ROUNDUP(C105/C74,0))</f>
        <v>4</v>
      </c>
      <c r="D106" s="27" t="s">
        <v>394</v>
      </c>
      <c r="E106" s="20"/>
    </row>
    <row r="107" spans="2:5" ht="12.75">
      <c r="B107" s="112" t="s">
        <v>485</v>
      </c>
      <c r="C107" s="134">
        <f>C105/C106</f>
        <v>320.8312051758669</v>
      </c>
      <c r="D107" s="27" t="s">
        <v>454</v>
      </c>
    </row>
    <row r="108" spans="2:5" ht="12.75">
      <c r="B108" s="112" t="s">
        <v>486</v>
      </c>
      <c r="C108" s="115">
        <f>'Cost Curves L-PSH'!V130</f>
        <v>28.056000000000001</v>
      </c>
      <c r="D108" s="27" t="s">
        <v>451</v>
      </c>
    </row>
    <row r="109" spans="2:5" ht="12.75">
      <c r="B109" s="112" t="s">
        <v>487</v>
      </c>
      <c r="C109" s="115">
        <f>'Cost Curves L-PSH'!AA130</f>
        <v>9.6688000000000009</v>
      </c>
      <c r="D109" s="27" t="s">
        <v>451</v>
      </c>
    </row>
    <row r="110" spans="2:5" ht="12.75">
      <c r="B110" s="112" t="s">
        <v>488</v>
      </c>
      <c r="C110" s="115">
        <f>((C91/(C108*C106))*4/PI())^0.5</f>
        <v>11.488163599886885</v>
      </c>
      <c r="D110" s="27" t="s">
        <v>395</v>
      </c>
    </row>
    <row r="111" spans="2:5" ht="12.75">
      <c r="B111" s="112" t="s">
        <v>489</v>
      </c>
      <c r="C111" s="115">
        <f>((C91/(C109*C106))*4/PI())^0.5</f>
        <v>19.569385997752452</v>
      </c>
      <c r="D111" s="27" t="s">
        <v>395</v>
      </c>
    </row>
    <row r="112" spans="2:5" ht="12.75">
      <c r="B112" s="112" t="s">
        <v>456</v>
      </c>
      <c r="C112" s="134">
        <f>C76*C21</f>
        <v>22.2</v>
      </c>
      <c r="D112" s="27" t="s">
        <v>490</v>
      </c>
    </row>
    <row r="113" spans="2:4" ht="12.75">
      <c r="B113" s="112" t="s">
        <v>491</v>
      </c>
      <c r="C113" s="115">
        <f>C85*C26/C112/3600</f>
        <v>8937.2738521646643</v>
      </c>
      <c r="D113" s="27" t="s">
        <v>466</v>
      </c>
    </row>
    <row r="114" spans="2:4" ht="12.75">
      <c r="B114" s="112" t="s">
        <v>492</v>
      </c>
      <c r="C114" s="134">
        <f>4.73*C113^1.85/C70^1.85/C94^4.87*C15</f>
        <v>48.736168480135696</v>
      </c>
      <c r="D114" s="27" t="s">
        <v>395</v>
      </c>
    </row>
    <row r="115" spans="2:4" ht="12.75">
      <c r="B115" s="112" t="s">
        <v>493</v>
      </c>
      <c r="C115" s="115">
        <f>C89+C114</f>
        <v>1374.7361684801358</v>
      </c>
      <c r="D115" s="27" t="s">
        <v>395</v>
      </c>
    </row>
    <row r="116" spans="2:4" ht="12.75">
      <c r="B116" s="112" t="s">
        <v>494</v>
      </c>
      <c r="C116" s="115">
        <f>C113*C115*C71*$C$30*$C$31/$C$29*(1/C24)^4</f>
        <v>915.45267714289605</v>
      </c>
      <c r="D116" s="27" t="s">
        <v>454</v>
      </c>
    </row>
    <row r="117" spans="2:4" ht="12.75">
      <c r="B117" s="112" t="s">
        <v>495</v>
      </c>
      <c r="C117" s="135">
        <f>VLOOKUP(C64,'Cost Curves L-PSH'!H276:I284,2,FALSE)</f>
        <v>1.75</v>
      </c>
      <c r="D117" s="27" t="s">
        <v>394</v>
      </c>
    </row>
    <row r="118" spans="2:4" ht="12.75">
      <c r="B118" s="112" t="s">
        <v>496</v>
      </c>
      <c r="C118" s="135">
        <f>IF(C65="Double",'Cost Curves L-PSH'!I287,1)</f>
        <v>1.6004696290247125</v>
      </c>
      <c r="D118" s="27" t="s">
        <v>394</v>
      </c>
    </row>
  </sheetData>
  <mergeCells count="2">
    <mergeCell ref="B6:D6"/>
    <mergeCell ref="B78:D78"/>
  </mergeCells>
  <conditionalFormatting sqref="R8:R51">
    <cfRule type="colorScale" priority="7">
      <colorScale>
        <cfvo type="min"/>
        <cfvo type="percentile" val="50"/>
        <cfvo type="max"/>
        <color rgb="FF63BE7B"/>
        <color rgb="FFFFEB84"/>
        <color rgb="FFF8696B"/>
      </colorScale>
    </cfRule>
  </conditionalFormatting>
  <conditionalFormatting sqref="S47:S50 S8:S45">
    <cfRule type="colorScale" priority="21">
      <colorScale>
        <cfvo type="min"/>
        <cfvo type="percentile" val="50"/>
        <cfvo type="max"/>
        <color rgb="FF63BE7B"/>
        <color rgb="FFFFEB84"/>
        <color rgb="FFF8696B"/>
      </colorScale>
    </cfRule>
  </conditionalFormatting>
  <dataValidations disablePrompts="1" count="10">
    <dataValidation type="list" allowBlank="1" showInputMessage="1" showErrorMessage="1" sqref="C51 C37 C40 C42" xr:uid="{68269D65-A7BD-3947-9451-230EA4493AF2}">
      <formula1>"Yes, No"</formula1>
    </dataValidation>
    <dataValidation type="list" allowBlank="1" showInputMessage="1" showErrorMessage="1" sqref="C65" xr:uid="{1D6B833B-62C6-5145-80CB-F0016DFCE4F1}">
      <formula1>"Single, Double"</formula1>
    </dataValidation>
    <dataValidation type="list" allowBlank="1" showInputMessage="1" showErrorMessage="1" sqref="C36" xr:uid="{F3784348-2285-7142-A800-690C8A1D0741}">
      <formula1>"New, Rebuild"</formula1>
    </dataValidation>
    <dataValidation type="list" allowBlank="1" showInputMessage="1" showErrorMessage="1" sqref="C35" xr:uid="{13C65C1C-004E-0E46-A110-E560D6490D04}">
      <formula1>"Steep, Mild, Flat"</formula1>
    </dataValidation>
    <dataValidation type="list" allowBlank="1" showInputMessage="1" showErrorMessage="1" sqref="C34" xr:uid="{D3896556-248C-7D4C-AA4F-1BE613EC859F}">
      <formula1>"Average,Poor"</formula1>
    </dataValidation>
    <dataValidation type="list" allowBlank="1" showInputMessage="1" showErrorMessage="1" sqref="C44:C45" xr:uid="{DC072F1A-3DCE-824A-9C96-7DD4B0A93F4C}">
      <formula1>"Horizontal, Vertical"</formula1>
    </dataValidation>
    <dataValidation type="list" allowBlank="1" showInputMessage="1" showErrorMessage="1" sqref="C46" xr:uid="{3A365153-3DF8-604B-A167-59E367552DC5}">
      <formula1>"Average, Adverse"</formula1>
    </dataValidation>
    <dataValidation type="list" allowBlank="1" showInputMessage="1" showErrorMessage="1" sqref="C47:C48" xr:uid="{0194CE09-6E82-A246-A1EB-6269B31AC8D7}">
      <formula1>"Underground, Surface"</formula1>
    </dataValidation>
    <dataValidation type="list" allowBlank="1" showInputMessage="1" showErrorMessage="1" sqref="C49" xr:uid="{E7041BD8-739E-944F-8E7B-BA989C17373F}">
      <formula1>"Standby, No Standby"</formula1>
    </dataValidation>
    <dataValidation type="list" allowBlank="1" showInputMessage="1" showErrorMessage="1" sqref="G8 G10 G13:G17 G20:G25 G28:G30 G33:G35 G37 G39 G42:G43 G45:G50" xr:uid="{9D133F48-5934-3C4C-91A7-91F171D0AF74}">
      <formula1>"Yes,No"</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4C5A96E4-225C-024B-A9C3-F08B5DCF8FC2}">
          <x14:formula1>
            <xm:f>'Locational Adj Factors'!$A$3:$A$55</xm:f>
          </x14:formula1>
          <xm:sqref>C9</xm:sqref>
        </x14:dataValidation>
        <x14:dataValidation type="list" allowBlank="1" showInputMessage="1" showErrorMessage="1" xr:uid="{7F9D0954-F91D-2742-9739-F4F9D29EE244}">
          <x14:formula1>
            <xm:f>'Cost Curves L-PSH'!$H$276:$H$284</xm:f>
          </x14:formula1>
          <xm:sqref>C64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36F6-63C5-5147-854E-2C4554E90069}">
  <sheetPr codeName="Sheet4">
    <tabColor theme="8"/>
  </sheetPr>
  <dimension ref="A1:AM395"/>
  <sheetViews>
    <sheetView zoomScaleNormal="100" workbookViewId="0"/>
  </sheetViews>
  <sheetFormatPr defaultColWidth="10.6640625" defaultRowHeight="15.75"/>
  <cols>
    <col min="1" max="1" width="12.5" style="4" customWidth="1"/>
    <col min="2" max="2" width="10.6640625" style="4" customWidth="1"/>
    <col min="3" max="3" width="10.6640625" style="4"/>
    <col min="4" max="4" width="21.1640625" style="4" bestFit="1" customWidth="1"/>
    <col min="5" max="5" width="15" style="4" bestFit="1" customWidth="1"/>
    <col min="6" max="7" width="18.5" style="4" bestFit="1" customWidth="1"/>
    <col min="8" max="8" width="19.5" style="4" bestFit="1" customWidth="1"/>
    <col min="9" max="9" width="17" style="4" customWidth="1"/>
    <col min="10" max="10" width="22.1640625" style="4" customWidth="1"/>
    <col min="11" max="12" width="10.6640625" style="4"/>
    <col min="13" max="13" width="25" style="4" bestFit="1" customWidth="1"/>
    <col min="14" max="14" width="10.6640625" style="4"/>
    <col min="15" max="15" width="14.1640625" style="4" customWidth="1"/>
    <col min="16" max="16" width="10.6640625" style="4"/>
    <col min="17" max="18" width="21.6640625" style="4" bestFit="1" customWidth="1"/>
    <col min="19" max="22" width="10.6640625" style="4"/>
    <col min="23" max="23" width="15.1640625" style="4" bestFit="1" customWidth="1"/>
    <col min="24" max="24" width="14.1640625" style="4" customWidth="1"/>
    <col min="25" max="26" width="10.6640625" style="4"/>
    <col min="27" max="27" width="10.6640625" style="4" bestFit="1" customWidth="1"/>
    <col min="28" max="16384" width="10.6640625" style="4"/>
  </cols>
  <sheetData>
    <row r="1" spans="1:39">
      <c r="B1" s="155" t="s">
        <v>497</v>
      </c>
      <c r="C1" s="155"/>
      <c r="D1" s="155"/>
      <c r="E1" s="155"/>
      <c r="F1" s="155"/>
      <c r="G1" s="155"/>
      <c r="H1" s="155"/>
      <c r="L1" s="155" t="s">
        <v>498</v>
      </c>
      <c r="M1" s="155"/>
      <c r="N1" s="155"/>
      <c r="O1" s="155"/>
      <c r="P1" s="155"/>
      <c r="Q1" s="155"/>
      <c r="R1" s="155"/>
      <c r="V1" s="155" t="s">
        <v>499</v>
      </c>
      <c r="W1" s="155"/>
      <c r="X1" s="155"/>
      <c r="Y1" s="155"/>
      <c r="Z1" s="155"/>
      <c r="AA1" s="155"/>
      <c r="AB1" s="155"/>
      <c r="AF1" s="155" t="s">
        <v>500</v>
      </c>
      <c r="AG1" s="155"/>
      <c r="AH1" s="155"/>
      <c r="AI1" s="155"/>
      <c r="AJ1" s="155"/>
      <c r="AK1" s="155"/>
      <c r="AL1" s="155"/>
    </row>
    <row r="2" spans="1:39">
      <c r="B2" s="156" t="s">
        <v>501</v>
      </c>
      <c r="C2" s="156"/>
      <c r="D2" s="156"/>
      <c r="E2" s="156"/>
      <c r="F2" s="156" t="s">
        <v>502</v>
      </c>
      <c r="G2" s="156"/>
      <c r="H2" s="156"/>
      <c r="I2" s="156"/>
      <c r="L2" s="156" t="s">
        <v>501</v>
      </c>
      <c r="M2" s="156"/>
      <c r="N2" s="156"/>
      <c r="O2" s="156"/>
      <c r="P2" s="156" t="s">
        <v>502</v>
      </c>
      <c r="Q2" s="156"/>
      <c r="R2" s="156"/>
      <c r="S2" s="156"/>
      <c r="V2" s="156" t="s">
        <v>501</v>
      </c>
      <c r="W2" s="156"/>
      <c r="X2" s="156"/>
      <c r="Y2" s="156"/>
      <c r="Z2" s="156" t="s">
        <v>502</v>
      </c>
      <c r="AA2" s="156"/>
      <c r="AB2" s="156"/>
      <c r="AC2" s="156"/>
      <c r="AF2" s="156" t="s">
        <v>501</v>
      </c>
      <c r="AG2" s="156"/>
      <c r="AH2" s="156"/>
      <c r="AI2" s="156"/>
      <c r="AJ2" s="156" t="s">
        <v>502</v>
      </c>
      <c r="AK2" s="156"/>
      <c r="AL2" s="156"/>
      <c r="AM2" s="156"/>
    </row>
    <row r="3" spans="1:39">
      <c r="A3" s="4" t="s">
        <v>503</v>
      </c>
      <c r="B3" s="139" t="s">
        <v>504</v>
      </c>
      <c r="C3" s="139" t="s">
        <v>505</v>
      </c>
      <c r="D3" s="139" t="s">
        <v>506</v>
      </c>
      <c r="E3" s="139" t="s">
        <v>507</v>
      </c>
      <c r="F3" s="139" t="s">
        <v>504</v>
      </c>
      <c r="G3" s="139" t="s">
        <v>505</v>
      </c>
      <c r="H3" s="139" t="s">
        <v>506</v>
      </c>
      <c r="I3" s="139" t="s">
        <v>507</v>
      </c>
      <c r="K3" s="4" t="s">
        <v>503</v>
      </c>
      <c r="L3" s="139" t="s">
        <v>504</v>
      </c>
      <c r="M3" s="139" t="s">
        <v>505</v>
      </c>
      <c r="N3" s="139" t="s">
        <v>506</v>
      </c>
      <c r="O3" s="139" t="s">
        <v>507</v>
      </c>
      <c r="P3" s="139" t="s">
        <v>504</v>
      </c>
      <c r="Q3" s="139" t="s">
        <v>505</v>
      </c>
      <c r="R3" s="139" t="s">
        <v>506</v>
      </c>
      <c r="S3" s="139" t="s">
        <v>507</v>
      </c>
      <c r="U3" s="4" t="s">
        <v>503</v>
      </c>
      <c r="V3" s="139" t="s">
        <v>504</v>
      </c>
      <c r="W3" s="139" t="s">
        <v>505</v>
      </c>
      <c r="X3" s="139" t="s">
        <v>506</v>
      </c>
      <c r="Y3" s="139" t="s">
        <v>507</v>
      </c>
      <c r="Z3" s="139" t="s">
        <v>504</v>
      </c>
      <c r="AA3" s="139" t="s">
        <v>505</v>
      </c>
      <c r="AB3" s="139" t="s">
        <v>506</v>
      </c>
      <c r="AC3" s="139" t="s">
        <v>507</v>
      </c>
      <c r="AE3" s="4" t="s">
        <v>503</v>
      </c>
      <c r="AF3" s="139" t="s">
        <v>504</v>
      </c>
      <c r="AG3" s="139" t="s">
        <v>505</v>
      </c>
      <c r="AH3" s="139" t="s">
        <v>506</v>
      </c>
      <c r="AI3" s="139" t="s">
        <v>507</v>
      </c>
      <c r="AJ3" s="139" t="s">
        <v>504</v>
      </c>
      <c r="AK3" s="139" t="s">
        <v>505</v>
      </c>
      <c r="AL3" s="139" t="s">
        <v>506</v>
      </c>
      <c r="AM3" s="139" t="s">
        <v>507</v>
      </c>
    </row>
    <row r="4" spans="1:39">
      <c r="A4" s="4">
        <v>350</v>
      </c>
      <c r="B4" s="4">
        <v>135</v>
      </c>
      <c r="C4" s="4">
        <v>116</v>
      </c>
      <c r="D4" s="4">
        <v>104</v>
      </c>
      <c r="E4" s="4">
        <v>92</v>
      </c>
      <c r="F4" s="4">
        <v>174</v>
      </c>
      <c r="G4" s="4">
        <v>145</v>
      </c>
      <c r="H4" s="4">
        <v>132</v>
      </c>
      <c r="I4" s="4">
        <v>118</v>
      </c>
      <c r="K4" s="4">
        <v>500</v>
      </c>
      <c r="L4" s="4">
        <v>78</v>
      </c>
      <c r="M4" s="4">
        <v>70</v>
      </c>
      <c r="N4" s="4">
        <v>62</v>
      </c>
      <c r="O4" s="4">
        <v>58</v>
      </c>
      <c r="P4" s="4">
        <v>98</v>
      </c>
      <c r="Q4" s="4">
        <v>84</v>
      </c>
      <c r="R4" s="4">
        <v>78</v>
      </c>
      <c r="S4" s="4">
        <v>70</v>
      </c>
      <c r="U4" s="4">
        <v>350</v>
      </c>
      <c r="V4" s="4">
        <v>84</v>
      </c>
      <c r="W4" s="4">
        <v>77</v>
      </c>
      <c r="X4" s="4">
        <v>72.5</v>
      </c>
      <c r="Y4" s="4">
        <v>67</v>
      </c>
      <c r="Z4" s="4">
        <v>112</v>
      </c>
      <c r="AA4" s="4">
        <v>95</v>
      </c>
      <c r="AB4" s="4">
        <v>87</v>
      </c>
      <c r="AC4" s="4">
        <v>78</v>
      </c>
      <c r="AE4" s="4">
        <v>350</v>
      </c>
      <c r="AF4" s="4">
        <v>38</v>
      </c>
      <c r="AG4" s="4">
        <v>35</v>
      </c>
      <c r="AH4" s="4">
        <v>32</v>
      </c>
      <c r="AI4" s="4">
        <v>30</v>
      </c>
      <c r="AJ4" s="4">
        <v>58</v>
      </c>
      <c r="AK4" s="4">
        <v>48.5</v>
      </c>
      <c r="AL4" s="4">
        <v>45</v>
      </c>
      <c r="AM4" s="4">
        <v>39</v>
      </c>
    </row>
    <row r="5" spans="1:39">
      <c r="A5" s="4">
        <v>500</v>
      </c>
      <c r="B5" s="4">
        <v>113</v>
      </c>
      <c r="C5" s="4">
        <v>96</v>
      </c>
      <c r="D5" s="4">
        <v>86</v>
      </c>
      <c r="E5" s="4">
        <v>78</v>
      </c>
      <c r="F5" s="4">
        <v>150</v>
      </c>
      <c r="G5" s="4">
        <v>124</v>
      </c>
      <c r="H5" s="4">
        <v>113.5</v>
      </c>
      <c r="I5" s="4">
        <v>102</v>
      </c>
      <c r="K5" s="4">
        <v>1000</v>
      </c>
      <c r="L5" s="4">
        <v>48</v>
      </c>
      <c r="M5" s="4">
        <v>42</v>
      </c>
      <c r="N5" s="4">
        <v>37</v>
      </c>
      <c r="O5" s="4">
        <v>33</v>
      </c>
      <c r="P5" s="4">
        <v>62</v>
      </c>
      <c r="Q5" s="4">
        <v>52</v>
      </c>
      <c r="R5" s="4">
        <v>46</v>
      </c>
      <c r="S5" s="4">
        <v>42.25</v>
      </c>
      <c r="U5" s="4">
        <v>500</v>
      </c>
      <c r="V5" s="4">
        <v>84</v>
      </c>
      <c r="W5" s="4">
        <v>77.25</v>
      </c>
      <c r="X5" s="4">
        <v>74</v>
      </c>
      <c r="Y5" s="4">
        <v>68</v>
      </c>
      <c r="Z5" s="4">
        <v>113.5</v>
      </c>
      <c r="AA5" s="4">
        <v>96</v>
      </c>
      <c r="AB5" s="4">
        <v>89</v>
      </c>
      <c r="AC5" s="4">
        <v>79.5</v>
      </c>
      <c r="AE5" s="4">
        <v>500</v>
      </c>
      <c r="AF5" s="4">
        <v>36</v>
      </c>
      <c r="AG5" s="4">
        <v>34</v>
      </c>
      <c r="AH5" s="4">
        <v>30</v>
      </c>
      <c r="AI5" s="4">
        <v>28</v>
      </c>
      <c r="AJ5" s="4">
        <v>54</v>
      </c>
      <c r="AK5" s="4">
        <v>45</v>
      </c>
      <c r="AL5" s="4">
        <v>42</v>
      </c>
      <c r="AM5" s="4">
        <v>37</v>
      </c>
    </row>
    <row r="6" spans="1:39">
      <c r="A6" s="4">
        <v>1000</v>
      </c>
      <c r="B6" s="4">
        <v>91</v>
      </c>
      <c r="C6" s="4">
        <v>76</v>
      </c>
      <c r="D6" s="4">
        <v>68</v>
      </c>
      <c r="E6" s="4">
        <v>60</v>
      </c>
      <c r="F6" s="4">
        <v>116</v>
      </c>
      <c r="G6" s="4">
        <v>98</v>
      </c>
      <c r="H6" s="4">
        <v>86</v>
      </c>
      <c r="I6" s="4">
        <v>76.5</v>
      </c>
      <c r="K6" s="4">
        <v>1500</v>
      </c>
      <c r="L6" s="4">
        <v>40.5</v>
      </c>
      <c r="M6" s="4">
        <v>34</v>
      </c>
      <c r="N6" s="4">
        <v>30</v>
      </c>
      <c r="O6" s="4">
        <v>26</v>
      </c>
      <c r="P6" s="4">
        <v>53</v>
      </c>
      <c r="Q6" s="4">
        <v>43</v>
      </c>
      <c r="R6" s="4">
        <v>39</v>
      </c>
      <c r="S6" s="4">
        <v>34.5</v>
      </c>
      <c r="U6" s="4">
        <v>1000</v>
      </c>
      <c r="V6" s="4">
        <v>87</v>
      </c>
      <c r="W6" s="4">
        <v>80</v>
      </c>
      <c r="X6" s="4">
        <v>76</v>
      </c>
      <c r="Y6" s="4">
        <v>74</v>
      </c>
      <c r="Z6" s="4">
        <v>118</v>
      </c>
      <c r="AA6" s="4">
        <v>102</v>
      </c>
      <c r="AB6" s="4">
        <v>93</v>
      </c>
      <c r="AC6" s="4">
        <v>85</v>
      </c>
      <c r="AE6" s="4">
        <v>1000</v>
      </c>
      <c r="AF6" s="4">
        <v>31</v>
      </c>
      <c r="AG6" s="4">
        <v>28</v>
      </c>
      <c r="AH6" s="4">
        <v>26</v>
      </c>
      <c r="AI6" s="4">
        <v>25</v>
      </c>
      <c r="AJ6" s="4">
        <v>45</v>
      </c>
      <c r="AK6" s="4">
        <v>40</v>
      </c>
      <c r="AL6" s="4">
        <v>37</v>
      </c>
      <c r="AM6" s="4">
        <v>34</v>
      </c>
    </row>
    <row r="7" spans="1:39">
      <c r="A7" s="4">
        <v>1500</v>
      </c>
      <c r="B7" s="4">
        <v>81</v>
      </c>
      <c r="C7" s="4">
        <v>69</v>
      </c>
      <c r="D7" s="4">
        <v>59.5</v>
      </c>
      <c r="E7" s="4">
        <v>54</v>
      </c>
      <c r="F7" s="4">
        <v>103</v>
      </c>
      <c r="G7" s="4">
        <v>88</v>
      </c>
      <c r="H7" s="4">
        <v>77</v>
      </c>
      <c r="I7" s="4">
        <v>68.5</v>
      </c>
      <c r="K7" s="4">
        <v>2000</v>
      </c>
      <c r="L7" s="4">
        <v>36</v>
      </c>
      <c r="M7" s="4">
        <v>31</v>
      </c>
      <c r="N7" s="4">
        <v>26</v>
      </c>
      <c r="O7" s="4">
        <v>24</v>
      </c>
      <c r="P7" s="4">
        <v>45</v>
      </c>
      <c r="Q7" s="4">
        <v>39</v>
      </c>
      <c r="R7" s="4">
        <v>34.5</v>
      </c>
      <c r="S7" s="4">
        <v>26</v>
      </c>
      <c r="U7" s="4">
        <v>1500</v>
      </c>
      <c r="V7" s="4">
        <v>92.5</v>
      </c>
      <c r="W7" s="4">
        <v>86</v>
      </c>
      <c r="X7" s="4">
        <v>84</v>
      </c>
      <c r="Y7" s="4">
        <v>80</v>
      </c>
      <c r="Z7" s="4">
        <v>125</v>
      </c>
      <c r="AA7" s="4">
        <v>108</v>
      </c>
      <c r="AB7" s="4">
        <v>100</v>
      </c>
      <c r="AC7" s="4">
        <v>91.5</v>
      </c>
      <c r="AE7" s="4">
        <v>1500</v>
      </c>
      <c r="AF7" s="4">
        <v>30</v>
      </c>
      <c r="AG7" s="4">
        <v>27</v>
      </c>
      <c r="AH7" s="4">
        <v>26</v>
      </c>
      <c r="AI7" s="4">
        <v>25.25</v>
      </c>
      <c r="AJ7" s="4">
        <v>44.5</v>
      </c>
      <c r="AK7" s="4">
        <v>39</v>
      </c>
      <c r="AL7" s="4">
        <v>36</v>
      </c>
      <c r="AM7" s="4">
        <v>32</v>
      </c>
    </row>
    <row r="8" spans="1:39">
      <c r="A8" s="4">
        <v>2000</v>
      </c>
      <c r="B8" s="4">
        <v>78</v>
      </c>
      <c r="C8" s="4">
        <v>63</v>
      </c>
      <c r="D8" s="4">
        <v>58</v>
      </c>
      <c r="E8" s="4">
        <v>50</v>
      </c>
      <c r="F8" s="4">
        <v>98</v>
      </c>
      <c r="G8" s="4">
        <v>82</v>
      </c>
      <c r="H8" s="4">
        <v>72</v>
      </c>
      <c r="I8" s="4">
        <v>62.5</v>
      </c>
      <c r="K8" s="4">
        <v>2250</v>
      </c>
      <c r="L8" s="4">
        <v>35</v>
      </c>
      <c r="M8" s="4">
        <v>30</v>
      </c>
      <c r="N8" s="4">
        <v>25</v>
      </c>
      <c r="O8" s="4">
        <v>23</v>
      </c>
      <c r="P8" s="4">
        <v>44</v>
      </c>
      <c r="Q8" s="4">
        <v>38</v>
      </c>
      <c r="R8" s="4">
        <v>33.5</v>
      </c>
      <c r="S8" s="4">
        <v>25</v>
      </c>
      <c r="U8" s="4">
        <v>2000</v>
      </c>
      <c r="V8" s="4">
        <v>102</v>
      </c>
      <c r="W8" s="4">
        <v>95</v>
      </c>
      <c r="X8" s="4">
        <v>92</v>
      </c>
      <c r="Y8" s="4">
        <v>87</v>
      </c>
      <c r="Z8" s="4">
        <v>134</v>
      </c>
      <c r="AA8" s="4">
        <v>116</v>
      </c>
      <c r="AB8" s="4">
        <v>106</v>
      </c>
      <c r="AC8" s="4">
        <v>98</v>
      </c>
      <c r="AE8" s="4">
        <v>2000</v>
      </c>
      <c r="AF8" s="4">
        <v>32</v>
      </c>
      <c r="AG8" s="4">
        <v>30</v>
      </c>
      <c r="AH8" s="4">
        <v>29</v>
      </c>
      <c r="AI8" s="4">
        <v>26</v>
      </c>
      <c r="AJ8" s="4">
        <v>46</v>
      </c>
      <c r="AK8" s="4">
        <v>41</v>
      </c>
      <c r="AL8" s="4">
        <v>38</v>
      </c>
      <c r="AM8" s="4">
        <v>34</v>
      </c>
    </row>
    <row r="9" spans="1:39">
      <c r="A9" s="4">
        <v>2250</v>
      </c>
      <c r="B9" s="4">
        <v>77</v>
      </c>
      <c r="C9" s="4">
        <v>62</v>
      </c>
      <c r="D9" s="4">
        <v>57</v>
      </c>
      <c r="E9" s="4">
        <v>49</v>
      </c>
      <c r="F9" s="4">
        <v>97</v>
      </c>
      <c r="G9" s="4">
        <v>81</v>
      </c>
      <c r="H9" s="4">
        <v>71</v>
      </c>
      <c r="I9" s="4">
        <v>62</v>
      </c>
      <c r="U9" s="4">
        <v>2250</v>
      </c>
      <c r="V9" s="4">
        <v>105.5</v>
      </c>
      <c r="W9" s="4">
        <v>98</v>
      </c>
      <c r="X9" s="4">
        <v>95</v>
      </c>
      <c r="Y9" s="4">
        <v>90</v>
      </c>
      <c r="Z9" s="4">
        <v>137</v>
      </c>
      <c r="AA9" s="4">
        <v>119</v>
      </c>
      <c r="AB9" s="4">
        <v>109.5</v>
      </c>
      <c r="AC9" s="4">
        <v>100</v>
      </c>
      <c r="AE9" s="4">
        <v>2250</v>
      </c>
      <c r="AF9" s="4">
        <v>33</v>
      </c>
      <c r="AG9" s="4">
        <v>31</v>
      </c>
      <c r="AH9" s="4">
        <v>30</v>
      </c>
      <c r="AI9" s="4">
        <v>28</v>
      </c>
      <c r="AJ9" s="4">
        <v>48</v>
      </c>
      <c r="AK9" s="4">
        <v>42</v>
      </c>
      <c r="AL9" s="4">
        <v>39.5</v>
      </c>
      <c r="AM9" s="4">
        <v>35</v>
      </c>
    </row>
    <row r="10" spans="1:39">
      <c r="A10" s="6"/>
      <c r="B10" s="8" t="s">
        <v>508</v>
      </c>
      <c r="C10" s="8" t="s">
        <v>509</v>
      </c>
      <c r="D10" s="8" t="s">
        <v>510</v>
      </c>
      <c r="E10" s="8" t="s">
        <v>511</v>
      </c>
      <c r="F10" s="8" t="s">
        <v>512</v>
      </c>
      <c r="G10" s="8" t="s">
        <v>513</v>
      </c>
      <c r="H10" s="8" t="s">
        <v>514</v>
      </c>
      <c r="I10" s="8" t="s">
        <v>515</v>
      </c>
      <c r="L10" s="7" t="s">
        <v>516</v>
      </c>
      <c r="M10" s="7" t="s">
        <v>517</v>
      </c>
      <c r="N10" s="7" t="s">
        <v>518</v>
      </c>
      <c r="O10" s="7" t="s">
        <v>519</v>
      </c>
      <c r="P10" s="7" t="s">
        <v>520</v>
      </c>
      <c r="Q10" s="7" t="s">
        <v>521</v>
      </c>
      <c r="R10" s="7" t="s">
        <v>522</v>
      </c>
      <c r="S10" s="7" t="s">
        <v>523</v>
      </c>
      <c r="V10" s="7" t="s">
        <v>524</v>
      </c>
      <c r="W10" s="7" t="s">
        <v>525</v>
      </c>
      <c r="X10" s="7" t="s">
        <v>526</v>
      </c>
      <c r="Y10" s="7" t="s">
        <v>527</v>
      </c>
      <c r="Z10" s="7" t="s">
        <v>528</v>
      </c>
      <c r="AA10" s="7" t="s">
        <v>529</v>
      </c>
      <c r="AB10" s="7" t="s">
        <v>530</v>
      </c>
      <c r="AC10" s="7" t="s">
        <v>531</v>
      </c>
      <c r="AF10" s="7" t="s">
        <v>532</v>
      </c>
      <c r="AG10" s="7" t="s">
        <v>533</v>
      </c>
      <c r="AH10" s="7" t="s">
        <v>534</v>
      </c>
      <c r="AI10" s="7" t="s">
        <v>535</v>
      </c>
      <c r="AJ10" s="7" t="s">
        <v>536</v>
      </c>
      <c r="AK10" s="7" t="s">
        <v>537</v>
      </c>
      <c r="AL10" s="7" t="s">
        <v>538</v>
      </c>
      <c r="AM10" s="7" t="s">
        <v>539</v>
      </c>
    </row>
    <row r="11" spans="1:39">
      <c r="A11" s="4" t="s">
        <v>540</v>
      </c>
      <c r="B11" s="4">
        <f>740.12*('Cost Model L-PSH'!C14)^-0.298</f>
        <v>82.746762311021598</v>
      </c>
      <c r="C11" s="4">
        <f>760.42*('Cost Model L-PSH'!C14)^-0.328</f>
        <v>68.188111490618297</v>
      </c>
      <c r="D11" s="4">
        <f>645.72*('Cost Model L-PSH'!C14)^-0.32</f>
        <v>61.410745084071252</v>
      </c>
      <c r="E11" s="4">
        <f>640.28*('Cost Model L-PSH'!C14)^-0.337</f>
        <v>53.738674073702647</v>
      </c>
      <c r="F11" s="4">
        <f>1096.7*('Cost Model L-PSH'!C14)^-0.319</f>
        <v>105.0705720118597</v>
      </c>
      <c r="G11" s="4">
        <f>878.1*('Cost Model L-PSH'!C14)^-0.313</f>
        <v>87.921679982121006</v>
      </c>
      <c r="H11" s="4">
        <f>926.99*('Cost Model L-PSH'!C14)^-0.337</f>
        <v>77.802232585090309</v>
      </c>
      <c r="I11" s="4">
        <f>911.22*('Cost Model L-PSH'!C14)^-0.352</f>
        <v>68.492557770829762</v>
      </c>
      <c r="K11" s="4" t="s">
        <v>540</v>
      </c>
      <c r="L11" s="4">
        <f>2032.8*('Cost Model L-PSH'!C14)^-0.532</f>
        <v>40.677323160852637</v>
      </c>
      <c r="M11" s="4">
        <f>2231.2*('Cost Model L-PSH'!C14)^-0.565</f>
        <v>35.028626061587921</v>
      </c>
      <c r="N11" s="4">
        <f>2553*('Cost Model L-PSH'!C14)^-0.604</f>
        <v>30.088709228442831</v>
      </c>
      <c r="O11" s="4">
        <f>2504.2*('Cost Model L-PSH'!C14)^-0.615</f>
        <v>27.220580536976755</v>
      </c>
      <c r="P11" s="4">
        <f>2613*('Cost Model L-PSH'!C14)^-0.533</f>
        <v>51.904378931613238</v>
      </c>
      <c r="Q11" s="4">
        <f>2154.7*('Cost Model L-PSH'!C14)^-0.53</f>
        <v>43.755310950094469</v>
      </c>
      <c r="R11" s="4">
        <f>2380.6*('Cost Model L-PSH'!C14)^-0.559</f>
        <v>39.0597787354559</v>
      </c>
      <c r="S11" s="4">
        <f>4996.8*('Cost Model L-PSH'!C14)^-0.687</f>
        <v>31.990083068542301</v>
      </c>
      <c r="U11" s="4" t="s">
        <v>540</v>
      </c>
      <c r="V11" s="4">
        <f>0.000005*('Cost Model L-PSH'!C14)^2 - 0.0009*('Cost Model L-PSH'!C14) + 83.095</f>
        <v>93.858999999999995</v>
      </c>
      <c r="W11" s="4">
        <f>0.000004*('Cost Model L-PSH'!C14)^2 + 0.0004*('Cost Model L-PSH'!C14) + 75.715</f>
        <v>86.073400000000007</v>
      </c>
      <c r="X11" s="4">
        <f>0.000004*('Cost Model L-PSH'!C14)^2 + 0.0021*('Cost Model L-PSH'!C14) + 71.437</f>
        <v>84.447400000000002</v>
      </c>
      <c r="Y11" s="4">
        <f>0.0000006*('Cost Model L-PSH'!C14)^2 + 0.0109*('Cost Model L-PSH'!C14) + 62.383</f>
        <v>80.847160000000002</v>
      </c>
      <c r="Z11" s="4">
        <f>0.000003*('Cost Model L-PSH'!C14)^2 + 0.0062*('Cost Model L-PSH'!C14) + 109.48</f>
        <v>126.4528</v>
      </c>
      <c r="AA11" s="4">
        <f>0.000001*('Cost Model L-PSH'!C14)^2 + 0.0099*('Cost Model L-PSH'!C14) + 90.767</f>
        <v>108.6446</v>
      </c>
      <c r="AB11" s="4">
        <f>0.000002*('Cost Model L-PSH'!C14)^2 + 0.0073*('Cost Model L-PSH'!C14) + 84.676</f>
        <v>100.9312</v>
      </c>
      <c r="AC11" s="4">
        <f>-0.0000001*('Cost Model L-PSH'!C14)^2 + 0.0123*('Cost Model L-PSH'!C14) + 73.167</f>
        <v>92.111639999999994</v>
      </c>
      <c r="AE11" s="4" t="s">
        <v>540</v>
      </c>
      <c r="AF11" s="4">
        <f>0.000006*('Cost Model L-PSH'!C14)^2 - 0.0183*('Cost Model L-PSH'!C14) + 43.547</f>
        <v>29.600599999999996</v>
      </c>
      <c r="AG11" s="4">
        <f>0.000007*('Cost Model L-PSH'!C14)^2 - 0.0198*('Cost Model L-PSH'!C14) + 41.489</f>
        <v>27.636199999999995</v>
      </c>
      <c r="AH11" s="4">
        <f>0.000006*('Cost Model L-PSH'!C14)^2 - 0.0162*('Cost Model L-PSH'!C14) + 36.672</f>
        <v>26.0016</v>
      </c>
      <c r="AI11" s="4">
        <f>0.000005*('Cost Model L-PSH'!C14)^2 - 0.0128*('Cost Model L-PSH'!C14) + 33.573</f>
        <v>25.773000000000003</v>
      </c>
      <c r="AJ11" s="4">
        <f>0.00001*('Cost Model L-PSH'!C14)^2 - 0.0308*('Cost Model L-PSH'!C14) + 67.023</f>
        <v>43.310999999999993</v>
      </c>
      <c r="AK11" s="4">
        <f>0.000007*('Cost Model L-PSH'!C14)^2 - 0.0207*('Cost Model L-PSH'!C14) + 54.238</f>
        <v>38.981200000000001</v>
      </c>
      <c r="AL11" s="4">
        <f>0.000007*('Cost Model L-PSH'!C14)^2 - 0.0205*('Cost Model L-PSH'!C14) + 50.886</f>
        <v>35.941200000000002</v>
      </c>
      <c r="AM11" s="4">
        <f>0.000005*('Cost Model L-PSH'!C14)^2 - 0.0146*('Cost Model L-PSH'!C14) + 43.361</f>
        <v>32.753</v>
      </c>
    </row>
    <row r="43" spans="1:39">
      <c r="B43" s="155" t="s">
        <v>541</v>
      </c>
      <c r="C43" s="155"/>
      <c r="D43" s="155"/>
      <c r="E43" s="155"/>
      <c r="F43" s="155"/>
      <c r="G43" s="155"/>
      <c r="H43" s="155"/>
      <c r="L43" s="155" t="s">
        <v>542</v>
      </c>
      <c r="M43" s="155"/>
      <c r="N43" s="155"/>
      <c r="O43" s="155"/>
      <c r="P43" s="155"/>
      <c r="Q43" s="155"/>
      <c r="R43" s="155"/>
      <c r="V43" s="155" t="s">
        <v>543</v>
      </c>
      <c r="W43" s="155"/>
      <c r="X43" s="155"/>
      <c r="Y43" s="155"/>
      <c r="Z43" s="155"/>
      <c r="AA43" s="155"/>
      <c r="AB43" s="155"/>
      <c r="AF43" s="155" t="s">
        <v>544</v>
      </c>
      <c r="AG43" s="155"/>
      <c r="AH43" s="155"/>
      <c r="AI43" s="155"/>
      <c r="AJ43" s="155"/>
      <c r="AK43" s="155"/>
      <c r="AL43" s="155"/>
    </row>
    <row r="44" spans="1:39">
      <c r="B44" s="156" t="s">
        <v>501</v>
      </c>
      <c r="C44" s="156"/>
      <c r="D44" s="156"/>
      <c r="E44" s="156"/>
      <c r="F44" s="156" t="s">
        <v>502</v>
      </c>
      <c r="G44" s="156"/>
      <c r="H44" s="156"/>
      <c r="I44" s="156"/>
      <c r="L44" s="156" t="s">
        <v>501</v>
      </c>
      <c r="M44" s="156"/>
      <c r="N44" s="156"/>
      <c r="O44" s="156"/>
      <c r="P44" s="156" t="s">
        <v>502</v>
      </c>
      <c r="Q44" s="156"/>
      <c r="R44" s="156"/>
      <c r="S44" s="156"/>
      <c r="V44" s="156" t="s">
        <v>501</v>
      </c>
      <c r="W44" s="156"/>
      <c r="X44" s="156"/>
      <c r="Y44" s="156"/>
      <c r="Z44" s="156" t="s">
        <v>502</v>
      </c>
      <c r="AA44" s="156"/>
      <c r="AB44" s="156"/>
      <c r="AC44" s="156"/>
      <c r="AF44" s="156" t="s">
        <v>501</v>
      </c>
      <c r="AG44" s="156"/>
      <c r="AH44" s="156"/>
      <c r="AI44" s="156"/>
      <c r="AJ44" s="156" t="s">
        <v>502</v>
      </c>
      <c r="AK44" s="156"/>
      <c r="AL44" s="156"/>
      <c r="AM44" s="156"/>
    </row>
    <row r="45" spans="1:39">
      <c r="A45" s="4" t="s">
        <v>503</v>
      </c>
      <c r="B45" s="139" t="s">
        <v>504</v>
      </c>
      <c r="C45" s="139" t="s">
        <v>505</v>
      </c>
      <c r="D45" s="139" t="s">
        <v>506</v>
      </c>
      <c r="E45" s="139" t="s">
        <v>507</v>
      </c>
      <c r="F45" s="139" t="s">
        <v>504</v>
      </c>
      <c r="G45" s="139" t="s">
        <v>505</v>
      </c>
      <c r="H45" s="139" t="s">
        <v>506</v>
      </c>
      <c r="I45" s="139" t="s">
        <v>507</v>
      </c>
      <c r="K45" s="4" t="s">
        <v>503</v>
      </c>
      <c r="L45" s="139" t="s">
        <v>504</v>
      </c>
      <c r="M45" s="139" t="s">
        <v>505</v>
      </c>
      <c r="N45" s="139" t="s">
        <v>506</v>
      </c>
      <c r="O45" s="139" t="s">
        <v>507</v>
      </c>
      <c r="P45" s="139" t="s">
        <v>504</v>
      </c>
      <c r="Q45" s="139" t="s">
        <v>505</v>
      </c>
      <c r="R45" s="139" t="s">
        <v>506</v>
      </c>
      <c r="S45" s="139" t="s">
        <v>507</v>
      </c>
      <c r="U45" s="4" t="s">
        <v>503</v>
      </c>
      <c r="V45" s="139" t="s">
        <v>504</v>
      </c>
      <c r="W45" s="139" t="s">
        <v>505</v>
      </c>
      <c r="X45" s="139" t="s">
        <v>506</v>
      </c>
      <c r="Y45" s="139" t="s">
        <v>507</v>
      </c>
      <c r="Z45" s="139" t="s">
        <v>504</v>
      </c>
      <c r="AA45" s="139" t="s">
        <v>505</v>
      </c>
      <c r="AB45" s="139" t="s">
        <v>506</v>
      </c>
      <c r="AC45" s="139" t="s">
        <v>507</v>
      </c>
      <c r="AE45" s="4" t="s">
        <v>503</v>
      </c>
      <c r="AF45" s="139" t="s">
        <v>504</v>
      </c>
      <c r="AG45" s="139" t="s">
        <v>505</v>
      </c>
      <c r="AH45" s="139" t="s">
        <v>506</v>
      </c>
      <c r="AI45" s="139" t="s">
        <v>507</v>
      </c>
      <c r="AJ45" s="139" t="s">
        <v>504</v>
      </c>
      <c r="AK45" s="139" t="s">
        <v>505</v>
      </c>
      <c r="AL45" s="139" t="s">
        <v>506</v>
      </c>
      <c r="AM45" s="139" t="s">
        <v>507</v>
      </c>
    </row>
    <row r="46" spans="1:39">
      <c r="A46" s="4">
        <v>350</v>
      </c>
      <c r="B46" s="4">
        <v>123</v>
      </c>
      <c r="C46" s="4">
        <v>108</v>
      </c>
      <c r="D46" s="4">
        <v>97</v>
      </c>
      <c r="E46" s="4">
        <v>90</v>
      </c>
      <c r="F46" s="4">
        <v>158</v>
      </c>
      <c r="G46" s="4">
        <v>134</v>
      </c>
      <c r="H46" s="4">
        <v>122</v>
      </c>
      <c r="I46" s="4">
        <v>112</v>
      </c>
      <c r="K46" s="4">
        <v>350</v>
      </c>
      <c r="L46" s="4">
        <v>116</v>
      </c>
      <c r="M46" s="4">
        <v>100</v>
      </c>
      <c r="N46" s="4">
        <v>92</v>
      </c>
      <c r="O46" s="4">
        <v>83</v>
      </c>
      <c r="P46" s="4">
        <v>148</v>
      </c>
      <c r="Q46" s="4">
        <v>126</v>
      </c>
      <c r="R46" s="4">
        <v>116</v>
      </c>
      <c r="S46" s="4">
        <v>104</v>
      </c>
      <c r="U46" s="4">
        <v>350</v>
      </c>
      <c r="V46" s="4">
        <v>63</v>
      </c>
      <c r="W46" s="4">
        <v>56</v>
      </c>
      <c r="X46" s="4">
        <v>52</v>
      </c>
      <c r="Y46" s="4">
        <v>48</v>
      </c>
      <c r="Z46" s="4">
        <v>92</v>
      </c>
      <c r="AA46" s="4">
        <v>75.5</v>
      </c>
      <c r="AB46" s="4">
        <v>70</v>
      </c>
      <c r="AC46" s="4">
        <v>64</v>
      </c>
      <c r="AE46" s="4">
        <v>350</v>
      </c>
      <c r="AF46" s="4">
        <v>50</v>
      </c>
      <c r="AG46" s="4">
        <v>44</v>
      </c>
      <c r="AH46" s="4">
        <v>41</v>
      </c>
      <c r="AI46" s="4">
        <v>38</v>
      </c>
      <c r="AJ46" s="4">
        <v>73</v>
      </c>
      <c r="AK46" s="4">
        <v>61.5</v>
      </c>
      <c r="AL46" s="4">
        <v>56</v>
      </c>
      <c r="AM46" s="4">
        <v>50</v>
      </c>
    </row>
    <row r="47" spans="1:39">
      <c r="A47" s="4">
        <v>500</v>
      </c>
      <c r="B47" s="4">
        <v>95</v>
      </c>
      <c r="C47" s="4">
        <v>83</v>
      </c>
      <c r="D47" s="4">
        <v>75</v>
      </c>
      <c r="E47" s="4">
        <v>68</v>
      </c>
      <c r="F47" s="4">
        <v>120</v>
      </c>
      <c r="G47" s="4">
        <v>103</v>
      </c>
      <c r="H47" s="4">
        <v>96</v>
      </c>
      <c r="I47" s="4">
        <v>86</v>
      </c>
      <c r="K47" s="4">
        <v>500</v>
      </c>
      <c r="L47" s="4">
        <v>95</v>
      </c>
      <c r="M47" s="4">
        <v>80</v>
      </c>
      <c r="N47" s="4">
        <v>73</v>
      </c>
      <c r="O47" s="4">
        <v>64</v>
      </c>
      <c r="P47" s="4">
        <v>116</v>
      </c>
      <c r="Q47" s="4">
        <v>100</v>
      </c>
      <c r="R47" s="4">
        <v>94</v>
      </c>
      <c r="S47" s="4">
        <v>83</v>
      </c>
      <c r="U47" s="4">
        <v>500</v>
      </c>
      <c r="V47" s="4">
        <v>62</v>
      </c>
      <c r="W47" s="4">
        <v>55</v>
      </c>
      <c r="X47" s="4">
        <v>52</v>
      </c>
      <c r="Y47" s="4">
        <v>48</v>
      </c>
      <c r="Z47" s="4">
        <v>90</v>
      </c>
      <c r="AA47" s="4">
        <v>76</v>
      </c>
      <c r="AB47" s="4">
        <v>71</v>
      </c>
      <c r="AC47" s="4">
        <v>64</v>
      </c>
      <c r="AE47" s="4">
        <v>500</v>
      </c>
      <c r="AF47" s="4">
        <v>46</v>
      </c>
      <c r="AG47" s="4">
        <v>41.5</v>
      </c>
      <c r="AH47" s="4">
        <v>38</v>
      </c>
      <c r="AI47" s="4">
        <v>36</v>
      </c>
      <c r="AJ47" s="4">
        <v>70</v>
      </c>
      <c r="AK47" s="4">
        <v>59</v>
      </c>
      <c r="AL47" s="4">
        <v>55</v>
      </c>
      <c r="AM47" s="4">
        <v>48</v>
      </c>
    </row>
    <row r="48" spans="1:39">
      <c r="A48" s="4">
        <v>1000</v>
      </c>
      <c r="B48" s="4">
        <v>69</v>
      </c>
      <c r="C48" s="4">
        <v>58</v>
      </c>
      <c r="D48" s="4">
        <v>52</v>
      </c>
      <c r="E48" s="4">
        <v>48</v>
      </c>
      <c r="F48" s="4">
        <v>87</v>
      </c>
      <c r="G48" s="4">
        <v>74</v>
      </c>
      <c r="H48" s="4">
        <v>66</v>
      </c>
      <c r="I48" s="4">
        <v>58</v>
      </c>
      <c r="K48" s="4">
        <v>1000</v>
      </c>
      <c r="L48" s="4">
        <v>59</v>
      </c>
      <c r="M48" s="4">
        <v>52</v>
      </c>
      <c r="N48" s="4">
        <v>44</v>
      </c>
      <c r="O48" s="4">
        <v>40</v>
      </c>
      <c r="P48" s="4">
        <v>74</v>
      </c>
      <c r="Q48" s="4">
        <v>64</v>
      </c>
      <c r="R48" s="4">
        <v>55</v>
      </c>
      <c r="S48" s="4">
        <v>52</v>
      </c>
      <c r="U48" s="4">
        <v>1000</v>
      </c>
      <c r="V48" s="4">
        <v>60</v>
      </c>
      <c r="W48" s="4">
        <v>54</v>
      </c>
      <c r="X48" s="4">
        <v>53</v>
      </c>
      <c r="Y48" s="4">
        <v>49</v>
      </c>
      <c r="Z48" s="4">
        <v>90</v>
      </c>
      <c r="AA48" s="4">
        <v>78</v>
      </c>
      <c r="AB48" s="4">
        <v>74</v>
      </c>
      <c r="AC48" s="4">
        <v>66</v>
      </c>
      <c r="AE48" s="4">
        <v>1000</v>
      </c>
      <c r="AF48" s="4">
        <v>42</v>
      </c>
      <c r="AG48" s="4">
        <v>37</v>
      </c>
      <c r="AH48" s="4">
        <v>36</v>
      </c>
      <c r="AI48" s="4">
        <v>34.5</v>
      </c>
      <c r="AJ48" s="4">
        <v>64</v>
      </c>
      <c r="AK48" s="4">
        <v>55.5</v>
      </c>
      <c r="AL48" s="4">
        <v>51</v>
      </c>
      <c r="AM48" s="4">
        <v>46</v>
      </c>
    </row>
    <row r="49" spans="1:39">
      <c r="A49" s="4">
        <v>1500</v>
      </c>
      <c r="B49" s="4">
        <v>63</v>
      </c>
      <c r="C49" s="4">
        <v>54</v>
      </c>
      <c r="D49" s="4">
        <v>46</v>
      </c>
      <c r="E49" s="4">
        <v>41</v>
      </c>
      <c r="F49" s="4">
        <v>79</v>
      </c>
      <c r="G49" s="4">
        <v>69</v>
      </c>
      <c r="H49" s="4">
        <v>62</v>
      </c>
      <c r="I49" s="4">
        <v>56</v>
      </c>
      <c r="K49" s="4">
        <v>1500</v>
      </c>
      <c r="L49" s="4">
        <v>46</v>
      </c>
      <c r="M49" s="4">
        <v>41</v>
      </c>
      <c r="N49" s="4">
        <v>36</v>
      </c>
      <c r="O49" s="4">
        <v>32</v>
      </c>
      <c r="P49" s="4">
        <v>60</v>
      </c>
      <c r="Q49" s="4">
        <v>50</v>
      </c>
      <c r="R49" s="4">
        <v>44</v>
      </c>
      <c r="S49" s="4">
        <v>40</v>
      </c>
      <c r="U49" s="4">
        <v>1500</v>
      </c>
      <c r="V49" s="4">
        <v>62</v>
      </c>
      <c r="W49" s="4">
        <v>56</v>
      </c>
      <c r="X49" s="4">
        <v>54.5</v>
      </c>
      <c r="Y49" s="4">
        <v>53</v>
      </c>
      <c r="Z49" s="4">
        <v>94</v>
      </c>
      <c r="AA49" s="4">
        <v>82</v>
      </c>
      <c r="AB49" s="4">
        <v>75.5</v>
      </c>
      <c r="AC49" s="4">
        <v>69</v>
      </c>
      <c r="AE49" s="4">
        <v>1500</v>
      </c>
      <c r="AF49" s="4">
        <v>44</v>
      </c>
      <c r="AG49" s="4">
        <v>40</v>
      </c>
      <c r="AH49" s="4">
        <v>37.5</v>
      </c>
      <c r="AI49" s="4">
        <v>36</v>
      </c>
      <c r="AJ49" s="4">
        <v>62</v>
      </c>
      <c r="AK49" s="4">
        <v>55</v>
      </c>
      <c r="AL49" s="4">
        <v>50</v>
      </c>
      <c r="AM49" s="4">
        <v>47</v>
      </c>
    </row>
    <row r="50" spans="1:39">
      <c r="A50" s="4">
        <v>2000</v>
      </c>
      <c r="B50" s="4">
        <v>58</v>
      </c>
      <c r="C50" s="4">
        <v>50</v>
      </c>
      <c r="D50" s="4">
        <v>44</v>
      </c>
      <c r="E50" s="4">
        <v>39</v>
      </c>
      <c r="F50" s="4">
        <v>76</v>
      </c>
      <c r="G50" s="4">
        <v>64</v>
      </c>
      <c r="H50" s="4">
        <v>56</v>
      </c>
      <c r="I50" s="4">
        <v>52</v>
      </c>
      <c r="K50" s="4">
        <v>2000</v>
      </c>
      <c r="L50" s="4">
        <v>45</v>
      </c>
      <c r="M50" s="4">
        <v>38.75</v>
      </c>
      <c r="N50" s="4">
        <v>34</v>
      </c>
      <c r="O50" s="4">
        <v>30</v>
      </c>
      <c r="P50" s="4">
        <v>56</v>
      </c>
      <c r="Q50" s="4">
        <v>48</v>
      </c>
      <c r="R50" s="4">
        <v>43</v>
      </c>
      <c r="S50" s="4">
        <v>38</v>
      </c>
      <c r="U50" s="4">
        <v>2000</v>
      </c>
      <c r="V50" s="4">
        <v>66</v>
      </c>
      <c r="W50" s="4">
        <v>64</v>
      </c>
      <c r="X50" s="4">
        <v>59</v>
      </c>
      <c r="Y50" s="4">
        <v>56</v>
      </c>
      <c r="Z50" s="4">
        <v>98</v>
      </c>
      <c r="AA50" s="4">
        <v>85</v>
      </c>
      <c r="AB50" s="4">
        <v>80</v>
      </c>
      <c r="AC50" s="4">
        <v>74</v>
      </c>
      <c r="AE50" s="4">
        <v>2000</v>
      </c>
      <c r="AF50" s="4">
        <v>45</v>
      </c>
      <c r="AG50" s="4">
        <v>43</v>
      </c>
      <c r="AH50" s="4">
        <v>40</v>
      </c>
      <c r="AI50" s="4">
        <v>38</v>
      </c>
      <c r="AJ50" s="4">
        <v>64</v>
      </c>
      <c r="AK50" s="4">
        <v>56</v>
      </c>
      <c r="AL50" s="4">
        <v>53</v>
      </c>
      <c r="AM50" s="4">
        <v>49</v>
      </c>
    </row>
    <row r="51" spans="1:39">
      <c r="A51" s="4">
        <v>2250</v>
      </c>
      <c r="B51" s="4">
        <v>56</v>
      </c>
      <c r="C51" s="4">
        <v>49</v>
      </c>
      <c r="D51" s="4">
        <v>43</v>
      </c>
      <c r="E51" s="4">
        <v>38</v>
      </c>
      <c r="F51" s="4">
        <v>74</v>
      </c>
      <c r="G51" s="4">
        <v>62</v>
      </c>
      <c r="H51" s="4">
        <v>54</v>
      </c>
      <c r="I51" s="4">
        <v>51</v>
      </c>
      <c r="K51" s="4">
        <v>2250</v>
      </c>
      <c r="L51" s="4">
        <v>45</v>
      </c>
      <c r="M51" s="4">
        <v>38.5</v>
      </c>
      <c r="N51" s="4">
        <v>33.75</v>
      </c>
      <c r="O51" s="4">
        <v>29.5</v>
      </c>
      <c r="P51" s="4">
        <v>57</v>
      </c>
      <c r="Q51" s="4">
        <v>48</v>
      </c>
      <c r="R51" s="4">
        <v>43</v>
      </c>
      <c r="S51" s="4">
        <v>38.5</v>
      </c>
      <c r="U51" s="4">
        <v>2250</v>
      </c>
      <c r="V51" s="4">
        <v>71</v>
      </c>
      <c r="W51" s="4">
        <v>66</v>
      </c>
      <c r="X51" s="4">
        <v>63</v>
      </c>
      <c r="Y51" s="4">
        <v>60</v>
      </c>
      <c r="Z51" s="4">
        <v>101</v>
      </c>
      <c r="AA51" s="4">
        <v>89</v>
      </c>
      <c r="AB51" s="4">
        <v>83</v>
      </c>
      <c r="AC51" s="4">
        <v>75</v>
      </c>
      <c r="AE51" s="4">
        <v>2250</v>
      </c>
      <c r="AF51" s="4">
        <v>46</v>
      </c>
      <c r="AG51" s="4">
        <v>44</v>
      </c>
      <c r="AH51" s="4">
        <v>41</v>
      </c>
      <c r="AI51" s="4">
        <v>38.5</v>
      </c>
      <c r="AJ51" s="4">
        <v>66</v>
      </c>
      <c r="AK51" s="4">
        <v>58</v>
      </c>
      <c r="AL51" s="4">
        <v>55</v>
      </c>
      <c r="AM51" s="4">
        <v>50</v>
      </c>
    </row>
    <row r="52" spans="1:39">
      <c r="B52" s="7" t="s">
        <v>545</v>
      </c>
      <c r="C52" s="7" t="s">
        <v>546</v>
      </c>
      <c r="D52" s="7" t="s">
        <v>547</v>
      </c>
      <c r="E52" s="7" t="s">
        <v>548</v>
      </c>
      <c r="F52" s="7" t="s">
        <v>549</v>
      </c>
      <c r="G52" s="7" t="s">
        <v>550</v>
      </c>
      <c r="H52" s="7" t="s">
        <v>551</v>
      </c>
      <c r="I52" s="7" t="s">
        <v>552</v>
      </c>
      <c r="L52" s="7" t="s">
        <v>553</v>
      </c>
      <c r="M52" s="7" t="s">
        <v>554</v>
      </c>
      <c r="N52" s="7" t="s">
        <v>555</v>
      </c>
      <c r="O52" s="7" t="s">
        <v>556</v>
      </c>
      <c r="P52" s="7" t="s">
        <v>557</v>
      </c>
      <c r="Q52" s="7" t="s">
        <v>558</v>
      </c>
      <c r="R52" s="7" t="s">
        <v>559</v>
      </c>
      <c r="S52" s="7" t="s">
        <v>560</v>
      </c>
      <c r="V52" s="7" t="s">
        <v>561</v>
      </c>
      <c r="W52" s="7" t="s">
        <v>562</v>
      </c>
      <c r="X52" s="7" t="s">
        <v>563</v>
      </c>
      <c r="Y52" s="7" t="s">
        <v>564</v>
      </c>
      <c r="Z52" s="7" t="s">
        <v>565</v>
      </c>
      <c r="AA52" s="7" t="s">
        <v>566</v>
      </c>
      <c r="AB52" s="7" t="s">
        <v>567</v>
      </c>
      <c r="AC52" s="7" t="s">
        <v>568</v>
      </c>
      <c r="AF52" s="7" t="s">
        <v>569</v>
      </c>
      <c r="AG52" s="7" t="s">
        <v>570</v>
      </c>
      <c r="AH52" s="7" t="s">
        <v>571</v>
      </c>
      <c r="AI52" s="7" t="s">
        <v>572</v>
      </c>
      <c r="AJ52" s="7" t="s">
        <v>573</v>
      </c>
      <c r="AK52" s="7" t="s">
        <v>574</v>
      </c>
      <c r="AL52" s="7" t="s">
        <v>575</v>
      </c>
      <c r="AM52" s="7" t="s">
        <v>576</v>
      </c>
    </row>
    <row r="53" spans="1:39">
      <c r="A53" s="4" t="s">
        <v>540</v>
      </c>
      <c r="B53" s="4">
        <f>1229.6*('Cost Model L-PSH'!C14)^-0.405</f>
        <v>62.596260921003555</v>
      </c>
      <c r="C53" s="4">
        <f>1113.2*('Cost Model L-PSH'!C14)^-0.412</f>
        <v>53.827704941124054</v>
      </c>
      <c r="D53" s="4">
        <f>1126.8*('Cost Model L-PSH'!C14)^-0.431</f>
        <v>47.381645207458376</v>
      </c>
      <c r="E53" s="4">
        <f>1195.5*('Cost Model L-PSH'!C14)^-0.454</f>
        <v>42.449346896086169</v>
      </c>
      <c r="F53" s="4">
        <f>1435.5*('Cost Model L-PSH'!C14)^-0.392</f>
        <v>80.407832312764114</v>
      </c>
      <c r="G53" s="4">
        <f>1258*('Cost Model L-PSH'!C14)^-0.396</f>
        <v>68.423187215662807</v>
      </c>
      <c r="H53" s="4">
        <f>1375*('Cost Model L-PSH'!C14)^-0.424</f>
        <v>60.872041680483129</v>
      </c>
      <c r="I53" s="4">
        <f>1131*('Cost Model L-PSH'!C14)^-0.41</f>
        <v>55.498535055978614</v>
      </c>
      <c r="K53" s="4" t="s">
        <v>540</v>
      </c>
      <c r="L53" s="4">
        <f>2163.3*('Cost Model L-PSH'!C14)^-0.512</f>
        <v>50.146076159649688</v>
      </c>
      <c r="M53" s="4">
        <f>1725.2*('Cost Model L-PSH'!C14)^-0.501</f>
        <v>43.359476059148129</v>
      </c>
      <c r="N53" s="4">
        <f>1735.2*('Cost Model L-PSH'!C14)^-0.52</f>
        <v>37.924926507163271</v>
      </c>
      <c r="O53" s="4">
        <f>1578.2*('Cost Model L-PSH'!C14)^-0.524</f>
        <v>33.493825203543473</v>
      </c>
      <c r="P53" s="4">
        <f>2315.8*('Cost Model L-PSH'!C14)^-0.49</f>
        <v>63.105904575527866</v>
      </c>
      <c r="Q53" s="4">
        <f>2194.6*('Cost Model L-PSH'!C14)^-0.505</f>
        <v>53.558382518354051</v>
      </c>
      <c r="R53" s="4">
        <f>2353.1*('Cost Model L-PSH'!C14)^-0.53</f>
        <v>47.784202996550476</v>
      </c>
      <c r="S53" s="4">
        <f>2162.4*('Cost Model L-PSH'!C14)^-0.533</f>
        <v>42.953704172108864</v>
      </c>
      <c r="U53" s="4" t="s">
        <v>540</v>
      </c>
      <c r="V53" s="4">
        <f>0.000007*('Cost Model L-PSH'!C14)^2 - 0.0146*('Cost Model L-PSH'!C14) + 67.574</f>
        <v>61.833199999999998</v>
      </c>
      <c r="W53" s="4">
        <f>0.000007*('Cost Model L-PSH'!C14)^2 - 0.0117*('Cost Model L-PSH'!C14) + 59.042</f>
        <v>57.825200000000002</v>
      </c>
      <c r="X53" s="4">
        <f>0.000005*('Cost Model L-PSH'!C14)^2 - 0.0065*('Cost Model L-PSH'!C14) + 54.377</f>
        <v>56.405000000000001</v>
      </c>
      <c r="Y53" s="4">
        <f>0.000003*('Cost Model L-PSH'!C14)^2 - 0.0018*('Cost Model L-PSH'!C14) + 48.04</f>
        <v>52.532800000000002</v>
      </c>
      <c r="Z53" s="4">
        <f>0.000004*('Cost Model L-PSH'!C14)^2 - 0.0039*('Cost Model L-PSH'!C14) + 90.761</f>
        <v>94.4114</v>
      </c>
      <c r="AA53" s="4">
        <f>0.000002*('Cost Model L-PSH'!C14)^2 + 0.0008*('Cost Model L-PSH'!C14) + 75.02</f>
        <v>81.135199999999998</v>
      </c>
      <c r="AB53" s="4">
        <f>0.000002*('Cost Model L-PSH'!C14)^2 + 0.0002*('Cost Model L-PSH'!C14) + 70.655</f>
        <v>75.834199999999996</v>
      </c>
      <c r="AC53" s="4">
        <f>0.000002*('Cost Model L-PSH'!C14)^2 + 0.002*('Cost Model L-PSH'!C14)+ 62.446</f>
        <v>70.433199999999999</v>
      </c>
      <c r="AE53" s="4" t="s">
        <v>540</v>
      </c>
      <c r="AF53" s="4">
        <f>0.000006*('Cost Model L-PSH'!C14)^2 - 0.0159*('Cost Model L-PSH'!C14) + 53.593</f>
        <v>43.390600000000006</v>
      </c>
      <c r="AG53" s="4">
        <f>0.000006*('Cost Model L-PSH'!C14)^2 - 0.0157*('Cost Model L-PSH'!C14) + 47.989</f>
        <v>38.098600000000005</v>
      </c>
      <c r="AH53" s="4">
        <f>0.000005*('Cost Model L-PSH'!C14)^2 - 0.0116*('Cost Model L-PSH'!C14)+ 43.522</f>
        <v>37.594000000000001</v>
      </c>
      <c r="AI53" s="4">
        <f>0.000003*('Cost Model L-PSH'!C14)^2 - 0.0078*('Cost Model L-PSH'!C14) + 39.647</f>
        <v>34.779800000000002</v>
      </c>
      <c r="AJ53" s="4">
        <f>0.000008*('Cost Model L-PSH'!C14)^2 - 0.0241*('Cost Model L-PSH'!C14)+ 80.261</f>
        <v>62.133799999999994</v>
      </c>
      <c r="AK53" s="4">
        <f>0.000005*('Cost Model L-PSH'!C14)^2 - 0.0155*('Cost Model L-PSH'!C14) + 65.884</f>
        <v>53.872</v>
      </c>
      <c r="AL53" s="4">
        <f>0.000006*('Cost Model L-PSH'!C14)^2 - 0.0165*('Cost Model L-PSH'!C14) + 61.35</f>
        <v>50.211600000000004</v>
      </c>
      <c r="AM53" s="4">
        <f>0.000004*('Cost Model L-PSH'!C14)^2 - 0.0099*('Cost Model L-PSH'!C14) + 52.44</f>
        <v>46.730399999999996</v>
      </c>
    </row>
    <row r="85" spans="1:35">
      <c r="A85" s="157" t="s">
        <v>577</v>
      </c>
      <c r="B85" s="157"/>
      <c r="C85" s="157"/>
      <c r="K85" s="5" t="s">
        <v>578</v>
      </c>
      <c r="V85" s="155" t="s">
        <v>579</v>
      </c>
      <c r="W85" s="155"/>
      <c r="X85" s="155"/>
      <c r="Y85" s="155"/>
      <c r="Z85" s="155"/>
      <c r="AA85" s="155"/>
      <c r="AB85" s="155"/>
      <c r="AE85" s="5" t="s">
        <v>580</v>
      </c>
    </row>
    <row r="86" spans="1:35">
      <c r="A86" s="139" t="s">
        <v>581</v>
      </c>
      <c r="B86" s="4" t="s">
        <v>582</v>
      </c>
      <c r="D86" s="139" t="s">
        <v>583</v>
      </c>
      <c r="E86" s="4" t="s">
        <v>584</v>
      </c>
      <c r="F86" s="139" t="s">
        <v>585</v>
      </c>
      <c r="G86" s="139" t="s">
        <v>586</v>
      </c>
      <c r="H86" s="139" t="s">
        <v>587</v>
      </c>
      <c r="K86" s="4" t="s">
        <v>588</v>
      </c>
      <c r="L86" s="139" t="s">
        <v>589</v>
      </c>
      <c r="M86" s="4" t="s">
        <v>590</v>
      </c>
      <c r="V86" s="156" t="s">
        <v>591</v>
      </c>
      <c r="W86" s="156"/>
      <c r="X86" s="156"/>
      <c r="Y86" s="156"/>
      <c r="Z86" s="156" t="s">
        <v>592</v>
      </c>
      <c r="AA86" s="156"/>
      <c r="AB86" s="156"/>
      <c r="AC86" s="156"/>
      <c r="AE86" s="4" t="s">
        <v>593</v>
      </c>
      <c r="AF86" s="4" t="s">
        <v>594</v>
      </c>
    </row>
    <row r="87" spans="1:35">
      <c r="A87" s="4">
        <v>25</v>
      </c>
      <c r="B87" s="4">
        <v>0.2</v>
      </c>
      <c r="D87" s="4">
        <v>0.114</v>
      </c>
      <c r="E87" s="4">
        <v>13.5</v>
      </c>
      <c r="F87" s="103">
        <f>1/D87</f>
        <v>8.7719298245614024</v>
      </c>
      <c r="G87" s="102">
        <f>1/E87</f>
        <v>7.407407407407407E-2</v>
      </c>
      <c r="H87" s="4">
        <f t="shared" ref="H87:H93" si="0">($H$98*D87)/($H$96+D87)</f>
        <v>13.720565586723607</v>
      </c>
      <c r="K87" s="4">
        <v>10</v>
      </c>
      <c r="L87" s="4">
        <v>1.3</v>
      </c>
      <c r="M87" s="4">
        <v>0.2</v>
      </c>
      <c r="P87" t="s">
        <v>595</v>
      </c>
      <c r="U87" s="4" t="s">
        <v>596</v>
      </c>
      <c r="V87" s="4" t="s">
        <v>597</v>
      </c>
      <c r="W87" s="4" t="s">
        <v>598</v>
      </c>
      <c r="X87" s="4" t="s">
        <v>599</v>
      </c>
      <c r="Y87" s="4" t="s">
        <v>600</v>
      </c>
      <c r="Z87" s="4" t="s">
        <v>597</v>
      </c>
      <c r="AA87" s="4" t="s">
        <v>598</v>
      </c>
      <c r="AB87" s="4" t="s">
        <v>599</v>
      </c>
      <c r="AC87" s="4" t="s">
        <v>600</v>
      </c>
      <c r="AE87" s="4">
        <v>10</v>
      </c>
      <c r="AF87" s="4">
        <v>1950</v>
      </c>
    </row>
    <row r="88" spans="1:35">
      <c r="A88" s="4">
        <v>50</v>
      </c>
      <c r="B88" s="4">
        <v>0.5</v>
      </c>
      <c r="D88" s="4">
        <v>1</v>
      </c>
      <c r="E88" s="4">
        <v>9</v>
      </c>
      <c r="F88" s="103">
        <f t="shared" ref="F88:F93" si="1">1/D88</f>
        <v>1</v>
      </c>
      <c r="G88" s="102">
        <f t="shared" ref="G88:G93" si="2">1/E88</f>
        <v>0.1111111111111111</v>
      </c>
      <c r="H88" s="4">
        <f t="shared" si="0"/>
        <v>8.1565266080742109</v>
      </c>
      <c r="K88" s="4">
        <v>15</v>
      </c>
      <c r="L88" s="4">
        <v>2.5</v>
      </c>
      <c r="M88" s="4">
        <v>0.45</v>
      </c>
      <c r="O88" s="139" t="s">
        <v>601</v>
      </c>
      <c r="P88" s="4">
        <f>0.0154*('Cost Model L-PSH'!C94)^2 - 0.1968*'Cost Model L-PSH'!C94 + 1.85</f>
        <v>6.7729190779682611</v>
      </c>
      <c r="U88" s="4">
        <v>10</v>
      </c>
      <c r="V88" s="4">
        <v>1000</v>
      </c>
      <c r="W88" s="4">
        <v>1200</v>
      </c>
      <c r="X88" s="4">
        <v>1300</v>
      </c>
      <c r="Y88" s="4">
        <v>1400</v>
      </c>
      <c r="Z88" s="4">
        <v>1400</v>
      </c>
      <c r="AA88" s="4">
        <v>1500</v>
      </c>
      <c r="AB88" s="4">
        <v>1550</v>
      </c>
      <c r="AC88" s="4">
        <v>1600</v>
      </c>
      <c r="AE88" s="4">
        <v>15</v>
      </c>
      <c r="AF88" s="4">
        <v>2800</v>
      </c>
    </row>
    <row r="89" spans="1:35">
      <c r="A89" s="4">
        <v>100</v>
      </c>
      <c r="B89" s="4">
        <v>1.4</v>
      </c>
      <c r="D89" s="4">
        <v>2</v>
      </c>
      <c r="E89" s="4">
        <v>8</v>
      </c>
      <c r="F89" s="103">
        <f t="shared" si="1"/>
        <v>0.5</v>
      </c>
      <c r="G89" s="102">
        <f t="shared" si="2"/>
        <v>0.125</v>
      </c>
      <c r="H89" s="4">
        <f t="shared" si="0"/>
        <v>7.9491405953633016</v>
      </c>
      <c r="K89" s="4">
        <v>20</v>
      </c>
      <c r="L89" s="4">
        <v>4.2</v>
      </c>
      <c r="M89" s="4">
        <v>0.9</v>
      </c>
      <c r="U89" s="4">
        <v>15</v>
      </c>
      <c r="V89" s="4">
        <v>1500</v>
      </c>
      <c r="W89" s="4">
        <v>1700</v>
      </c>
      <c r="X89" s="4">
        <v>1800</v>
      </c>
      <c r="Y89" s="4">
        <v>1900</v>
      </c>
      <c r="Z89" s="4">
        <v>2200</v>
      </c>
      <c r="AA89" s="4">
        <v>2400</v>
      </c>
      <c r="AB89" s="4">
        <v>2500</v>
      </c>
      <c r="AC89" s="4">
        <v>2600</v>
      </c>
      <c r="AE89" s="4">
        <v>20</v>
      </c>
      <c r="AF89" s="4">
        <v>3700</v>
      </c>
      <c r="AI89" t="s">
        <v>602</v>
      </c>
    </row>
    <row r="90" spans="1:35">
      <c r="A90" s="4">
        <v>150</v>
      </c>
      <c r="B90" s="4">
        <v>2.7</v>
      </c>
      <c r="D90" s="4">
        <v>4</v>
      </c>
      <c r="E90" s="4">
        <v>7.8</v>
      </c>
      <c r="F90" s="103">
        <f t="shared" si="1"/>
        <v>0.25</v>
      </c>
      <c r="G90" s="102">
        <f t="shared" si="2"/>
        <v>0.12820512820512822</v>
      </c>
      <c r="H90" s="4">
        <f t="shared" si="0"/>
        <v>7.8493526569366407</v>
      </c>
      <c r="K90" s="4">
        <v>25</v>
      </c>
      <c r="L90" s="4">
        <v>6.4</v>
      </c>
      <c r="M90" s="4">
        <v>1.3</v>
      </c>
      <c r="P90" t="s">
        <v>603</v>
      </c>
      <c r="U90" s="4">
        <v>20</v>
      </c>
      <c r="V90" s="4">
        <v>2200</v>
      </c>
      <c r="W90" s="4">
        <v>2400</v>
      </c>
      <c r="X90" s="4">
        <v>2500</v>
      </c>
      <c r="Y90" s="4">
        <v>2700</v>
      </c>
      <c r="Z90" s="4">
        <v>3200</v>
      </c>
      <c r="AA90" s="4">
        <v>3450</v>
      </c>
      <c r="AB90" s="4">
        <v>3600</v>
      </c>
      <c r="AC90" s="4">
        <v>3900</v>
      </c>
      <c r="AE90" s="4">
        <v>25</v>
      </c>
      <c r="AF90" s="4">
        <v>4700</v>
      </c>
      <c r="AH90" s="139" t="s">
        <v>604</v>
      </c>
      <c r="AI90" s="4">
        <f>186.57*'Cost Model L-PSH'!C94 + 27.143</f>
        <v>4761.6130899681739</v>
      </c>
    </row>
    <row r="91" spans="1:35">
      <c r="A91" s="4">
        <v>200</v>
      </c>
      <c r="B91" s="4">
        <v>4.4000000000000004</v>
      </c>
      <c r="D91" s="4">
        <v>6</v>
      </c>
      <c r="E91" s="4">
        <v>7.7</v>
      </c>
      <c r="F91" s="103">
        <f t="shared" si="1"/>
        <v>0.16666666666666666</v>
      </c>
      <c r="G91" s="102">
        <f t="shared" si="2"/>
        <v>0.12987012987012986</v>
      </c>
      <c r="H91" s="4">
        <f t="shared" si="0"/>
        <v>7.8166444321108628</v>
      </c>
      <c r="K91" s="4">
        <v>30</v>
      </c>
      <c r="L91" s="4">
        <v>9.6</v>
      </c>
      <c r="M91" s="4">
        <v>2.2999999999999998</v>
      </c>
      <c r="O91" s="139" t="s">
        <v>605</v>
      </c>
      <c r="P91" s="4">
        <f>0.0046*('Cost Model L-PSH'!C94)^2 - 0.0819*'Cost Model L-PSH'!C94 + 0.5993</f>
        <v>1.4831926075256057</v>
      </c>
      <c r="U91" s="4">
        <v>25</v>
      </c>
      <c r="V91" s="4">
        <v>3200</v>
      </c>
      <c r="W91" s="4">
        <v>3400</v>
      </c>
      <c r="X91" s="4">
        <v>3550</v>
      </c>
      <c r="Y91" s="4">
        <v>3900</v>
      </c>
      <c r="Z91" s="4">
        <v>4600</v>
      </c>
      <c r="AA91" s="4">
        <v>4900</v>
      </c>
      <c r="AB91" s="4">
        <v>5200</v>
      </c>
      <c r="AC91" s="4">
        <v>5600</v>
      </c>
      <c r="AE91" s="4">
        <v>30</v>
      </c>
      <c r="AF91" s="4">
        <v>5600</v>
      </c>
    </row>
    <row r="92" spans="1:35">
      <c r="A92" s="4">
        <v>250</v>
      </c>
      <c r="B92" s="4">
        <v>6.7</v>
      </c>
      <c r="D92" s="4">
        <v>8</v>
      </c>
      <c r="E92" s="4">
        <v>7.6</v>
      </c>
      <c r="F92" s="103">
        <f t="shared" si="1"/>
        <v>0.125</v>
      </c>
      <c r="G92" s="102">
        <f t="shared" si="2"/>
        <v>0.13157894736842105</v>
      </c>
      <c r="H92" s="4">
        <f t="shared" si="0"/>
        <v>7.8003923284559873</v>
      </c>
      <c r="K92" s="4">
        <v>35</v>
      </c>
      <c r="L92" s="4">
        <v>13.9</v>
      </c>
      <c r="M92" s="4">
        <v>3.4</v>
      </c>
      <c r="U92" s="4">
        <v>30</v>
      </c>
      <c r="V92" s="4">
        <v>4400</v>
      </c>
      <c r="W92" s="4">
        <v>4550</v>
      </c>
      <c r="X92" s="4">
        <v>4975</v>
      </c>
      <c r="Y92" s="4">
        <v>5450</v>
      </c>
      <c r="Z92" s="4">
        <v>6500</v>
      </c>
      <c r="AA92" s="4">
        <v>6700</v>
      </c>
      <c r="AB92" s="4">
        <v>7400</v>
      </c>
      <c r="AC92" s="4">
        <v>8100</v>
      </c>
      <c r="AE92" s="4">
        <v>35</v>
      </c>
      <c r="AF92" s="4">
        <v>6600</v>
      </c>
    </row>
    <row r="93" spans="1:35">
      <c r="A93" s="4">
        <v>300</v>
      </c>
      <c r="B93" s="4">
        <v>9.4</v>
      </c>
      <c r="D93" s="4">
        <v>10</v>
      </c>
      <c r="E93" s="4">
        <v>7.5</v>
      </c>
      <c r="F93" s="103">
        <f t="shared" si="1"/>
        <v>0.1</v>
      </c>
      <c r="G93" s="102">
        <f t="shared" si="2"/>
        <v>0.13333333333333333</v>
      </c>
      <c r="H93" s="4">
        <f t="shared" si="0"/>
        <v>7.7906734650387177</v>
      </c>
      <c r="U93" s="4">
        <v>35</v>
      </c>
      <c r="V93" s="4">
        <v>5600</v>
      </c>
      <c r="W93" s="4">
        <v>5900</v>
      </c>
      <c r="X93" s="4">
        <v>6450</v>
      </c>
      <c r="Y93" s="4">
        <v>7500</v>
      </c>
      <c r="Z93" s="4">
        <v>8450</v>
      </c>
      <c r="AA93" s="4">
        <v>8750</v>
      </c>
      <c r="AB93" s="4">
        <v>9350</v>
      </c>
      <c r="AC93" s="4">
        <v>11250</v>
      </c>
    </row>
    <row r="94" spans="1:35">
      <c r="A94" s="4">
        <v>350</v>
      </c>
      <c r="B94" s="4">
        <v>12.5</v>
      </c>
      <c r="H94" s="104" t="s">
        <v>606</v>
      </c>
      <c r="I94" s="101"/>
      <c r="J94" s="19"/>
      <c r="V94" t="s">
        <v>607</v>
      </c>
      <c r="W94" t="s">
        <v>608</v>
      </c>
      <c r="X94" t="s">
        <v>609</v>
      </c>
      <c r="Y94" t="s">
        <v>610</v>
      </c>
      <c r="Z94" t="s">
        <v>611</v>
      </c>
      <c r="AA94" t="s">
        <v>612</v>
      </c>
      <c r="AB94" t="s">
        <v>613</v>
      </c>
      <c r="AC94" t="s">
        <v>614</v>
      </c>
    </row>
    <row r="95" spans="1:35">
      <c r="C95" s="139" t="s">
        <v>615</v>
      </c>
      <c r="E95" s="139" t="s">
        <v>616</v>
      </c>
      <c r="G95" s="159" t="s">
        <v>617</v>
      </c>
      <c r="H95" s="103">
        <f>SLOPE(G87:G93,F87:F93)</f>
        <v>-6.3971129931087774E-3</v>
      </c>
      <c r="I95" s="108" t="s">
        <v>618</v>
      </c>
      <c r="J95" s="108">
        <f xml:space="preserve"> (7.75204*C98)/(C98 - 0.049591)</f>
        <v>7.9166421358164936</v>
      </c>
      <c r="V95" s="4">
        <f>3.9286*('Cost Model L-PSH'!C94)^2 + 10.071*('Cost Model L-PSH'!C94) + 481.43</f>
        <v>3266.8581144914433</v>
      </c>
      <c r="W95" s="139">
        <f>4.3214*('Cost Model L-PSH'!C94)^2 - 5.6071*('Cost Model L-PSH'!C94) + 815</f>
        <v>3455.5224134994251</v>
      </c>
      <c r="X95" s="139">
        <f>5.5536*('Cost Model L-PSH'!C94)^2 - 42.339*'Cost Model L-PSH'!C94 + 1165.4</f>
        <v>3667.2879327446549</v>
      </c>
      <c r="Y95" s="139">
        <f>7.6786*('Cost Model L-PSH'!C94)^2 - 103.54*'Cost Model L-PSH'!C94 + 1690.7</f>
        <v>4007.9442252166991</v>
      </c>
      <c r="Z95" s="139">
        <f>6.6786*('Cost Model L-PSH'!C94)^2 - 17.393*'Cost Model L-PSH'!C94 + 915</f>
        <v>4774.3823574386661</v>
      </c>
      <c r="AA95" s="139">
        <f>6.25*('Cost Model L-PSH'!C94)^2 + 7.8929*'Cost Model L-PSH'!C94 + 819.29</f>
        <v>5044.3354034522436</v>
      </c>
      <c r="AB95" s="139">
        <f>6.7143*('Cost Model L-PSH'!C94)^2 + 13.857*'Cost Model L-PSH'!C94 + 732.86</f>
        <v>5408.2434284194123</v>
      </c>
      <c r="AC95" s="139">
        <f>11.107*('Cost Model L-PSH'!C94)^2 - 120.11*'Cost Model L-PSH'!C94 + 1777.9</f>
        <v>5882.4113912198391</v>
      </c>
    </row>
    <row r="96" spans="1:35">
      <c r="B96" s="159" t="s">
        <v>619</v>
      </c>
      <c r="C96" s="139">
        <f>(0.00009*('Cost Model L-PSH'!C16)^2 + 0.0039*'Cost Model L-PSH'!C16 + 0.0707)*1000</f>
        <v>1834.7</v>
      </c>
      <c r="D96" s="159" t="s">
        <v>620</v>
      </c>
      <c r="E96" s="139">
        <f>(0.00009*('Cost Model L-PSH'!C18)^2 + 0.0039*'Cost Model L-PSH'!C18 + 0.0707)*1000</f>
        <v>628.70000000000005</v>
      </c>
      <c r="G96" s="159" t="s">
        <v>621</v>
      </c>
      <c r="H96" s="160">
        <f>H95*H98</f>
        <v>-4.9590669370585025E-2</v>
      </c>
      <c r="I96" s="108" t="s">
        <v>622</v>
      </c>
      <c r="J96" s="108">
        <f xml:space="preserve"> (7.75204*E98)/(E98 - 0.049591)</f>
        <v>8.3508624157488018</v>
      </c>
    </row>
    <row r="97" spans="2:8">
      <c r="B97" s="159" t="s">
        <v>623</v>
      </c>
      <c r="C97" s="4">
        <f>C96*'Cost Model L-PSH'!C17</f>
        <v>2385110</v>
      </c>
      <c r="D97" s="159" t="s">
        <v>624</v>
      </c>
      <c r="E97" s="4">
        <f>E96*'Cost Model L-PSH'!C19</f>
        <v>691570</v>
      </c>
      <c r="G97" s="159" t="s">
        <v>625</v>
      </c>
      <c r="H97" s="103">
        <f>INTERCEPT(G87:G93,F87:F93)</f>
        <v>0.128998319125397</v>
      </c>
    </row>
    <row r="98" spans="2:8">
      <c r="B98" s="159" t="s">
        <v>626</v>
      </c>
      <c r="C98" s="4">
        <f>C97/(10^6)</f>
        <v>2.3851100000000001</v>
      </c>
      <c r="D98" s="159" t="s">
        <v>627</v>
      </c>
      <c r="E98" s="4">
        <f>E97/(10^6)</f>
        <v>0.69157000000000002</v>
      </c>
      <c r="G98" s="159" t="s">
        <v>628</v>
      </c>
      <c r="H98" s="103">
        <f>1/H97</f>
        <v>7.7520389938408236</v>
      </c>
    </row>
    <row r="121" spans="1:26">
      <c r="U121" s="139" t="s">
        <v>629</v>
      </c>
      <c r="Y121" s="139" t="s">
        <v>630</v>
      </c>
    </row>
    <row r="122" spans="1:26">
      <c r="A122" s="5" t="s">
        <v>631</v>
      </c>
      <c r="K122" s="5" t="s">
        <v>632</v>
      </c>
      <c r="U122" s="139" t="s">
        <v>633</v>
      </c>
      <c r="V122" s="139" t="s">
        <v>634</v>
      </c>
      <c r="Y122" s="139" t="s">
        <v>633</v>
      </c>
      <c r="Z122" s="139" t="s">
        <v>634</v>
      </c>
    </row>
    <row r="123" spans="1:26">
      <c r="A123" s="4" t="s">
        <v>635</v>
      </c>
      <c r="B123" s="4" t="s">
        <v>636</v>
      </c>
      <c r="C123" s="4" t="s">
        <v>637</v>
      </c>
      <c r="D123" s="4" t="s">
        <v>638</v>
      </c>
      <c r="E123" s="4" t="s">
        <v>639</v>
      </c>
      <c r="K123" s="4" t="s">
        <v>635</v>
      </c>
      <c r="L123" s="4" t="s">
        <v>640</v>
      </c>
      <c r="M123" s="4" t="s">
        <v>636</v>
      </c>
      <c r="N123" s="4" t="s">
        <v>641</v>
      </c>
      <c r="O123" s="4" t="s">
        <v>637</v>
      </c>
      <c r="P123" s="4" t="s">
        <v>638</v>
      </c>
      <c r="U123" s="4">
        <v>300</v>
      </c>
      <c r="V123" s="4">
        <v>18</v>
      </c>
      <c r="Y123" s="4">
        <v>300</v>
      </c>
      <c r="Z123" s="4">
        <v>8</v>
      </c>
    </row>
    <row r="124" spans="1:26">
      <c r="A124" s="4">
        <v>5</v>
      </c>
      <c r="K124" s="4">
        <v>10</v>
      </c>
      <c r="L124" s="4">
        <v>1.55</v>
      </c>
      <c r="M124" s="4">
        <v>2.2000000000000002</v>
      </c>
      <c r="N124" s="4">
        <v>3.2</v>
      </c>
      <c r="O124" s="4">
        <v>4.5</v>
      </c>
      <c r="P124" s="4">
        <v>6.65</v>
      </c>
      <c r="U124" s="4">
        <v>500</v>
      </c>
      <c r="V124" s="4">
        <v>20</v>
      </c>
      <c r="Y124" s="4">
        <v>500</v>
      </c>
      <c r="Z124" s="4">
        <v>10</v>
      </c>
    </row>
    <row r="125" spans="1:26">
      <c r="A125" s="4">
        <v>10</v>
      </c>
      <c r="B125" s="4">
        <v>2200</v>
      </c>
      <c r="C125" s="4">
        <v>2400</v>
      </c>
      <c r="D125" s="4">
        <v>3000</v>
      </c>
      <c r="E125" s="4">
        <v>3800</v>
      </c>
      <c r="K125" s="4">
        <v>15</v>
      </c>
      <c r="L125" s="4">
        <v>3.3</v>
      </c>
      <c r="M125" s="4">
        <v>5</v>
      </c>
      <c r="N125" s="4">
        <v>7</v>
      </c>
      <c r="O125" s="4">
        <v>10</v>
      </c>
      <c r="P125" s="4">
        <v>14.75</v>
      </c>
      <c r="U125" s="4">
        <v>1000</v>
      </c>
      <c r="V125" s="4">
        <v>25</v>
      </c>
      <c r="Y125" s="4">
        <v>1000</v>
      </c>
      <c r="Z125" s="4">
        <v>13</v>
      </c>
    </row>
    <row r="126" spans="1:26">
      <c r="A126" s="4">
        <v>15</v>
      </c>
      <c r="B126" s="4">
        <v>4100</v>
      </c>
      <c r="C126" s="4">
        <v>4600</v>
      </c>
      <c r="D126" s="4">
        <v>6000</v>
      </c>
      <c r="E126" s="4">
        <v>7600</v>
      </c>
      <c r="K126" s="4">
        <v>20</v>
      </c>
      <c r="L126" s="4">
        <v>5.6</v>
      </c>
      <c r="M126" s="4">
        <v>8.6999999999999993</v>
      </c>
      <c r="N126" s="4">
        <v>12.3</v>
      </c>
      <c r="U126" s="4">
        <v>1500</v>
      </c>
      <c r="V126" s="4">
        <v>28</v>
      </c>
      <c r="Y126" s="4">
        <v>1500</v>
      </c>
      <c r="Z126" s="4">
        <v>15</v>
      </c>
    </row>
    <row r="127" spans="1:26">
      <c r="A127" s="4">
        <v>20</v>
      </c>
      <c r="B127" s="4">
        <v>6900</v>
      </c>
      <c r="C127" s="4">
        <v>7800</v>
      </c>
      <c r="D127" s="4">
        <v>10300</v>
      </c>
      <c r="E127" s="4">
        <v>13250</v>
      </c>
      <c r="K127" s="4">
        <v>25</v>
      </c>
      <c r="L127" s="4">
        <v>8.6</v>
      </c>
      <c r="M127" s="4">
        <v>13.7</v>
      </c>
      <c r="U127" s="4">
        <v>2200</v>
      </c>
      <c r="V127" s="4">
        <v>32</v>
      </c>
      <c r="Y127" s="4">
        <v>2200</v>
      </c>
      <c r="Z127" s="4">
        <v>17</v>
      </c>
    </row>
    <row r="128" spans="1:26">
      <c r="A128" s="4">
        <v>25</v>
      </c>
      <c r="B128" s="4">
        <v>10000</v>
      </c>
      <c r="C128" s="4">
        <v>11700</v>
      </c>
      <c r="D128" s="4">
        <v>15800</v>
      </c>
      <c r="K128" s="4">
        <v>30</v>
      </c>
      <c r="L128" s="4">
        <v>12.2</v>
      </c>
    </row>
    <row r="129" spans="1:27">
      <c r="A129" s="4">
        <v>30</v>
      </c>
      <c r="K129" s="4">
        <v>35</v>
      </c>
      <c r="L129" s="4">
        <v>16.5</v>
      </c>
      <c r="V129" s="161" t="s">
        <v>642</v>
      </c>
      <c r="Z129" s="161"/>
      <c r="AA129" s="139" t="s">
        <v>643</v>
      </c>
    </row>
    <row r="130" spans="1:27">
      <c r="B130" t="s">
        <v>644</v>
      </c>
      <c r="C130" t="s">
        <v>645</v>
      </c>
      <c r="D130" t="s">
        <v>646</v>
      </c>
      <c r="E130" t="s">
        <v>647</v>
      </c>
      <c r="L130" t="s">
        <v>648</v>
      </c>
      <c r="M130" t="s">
        <v>649</v>
      </c>
      <c r="N130" t="s">
        <v>650</v>
      </c>
      <c r="O130" t="s">
        <v>651</v>
      </c>
      <c r="P130" t="s">
        <v>652</v>
      </c>
      <c r="V130" s="4">
        <f>0.0074*'Cost Model L-PSH'!C14 + 16.512</f>
        <v>28.056000000000001</v>
      </c>
      <c r="AA130" s="139">
        <f>0.0046*('Cost Model L-PSH'!C14-'Cost Model L-PSH'!C88) + 7.516</f>
        <v>9.6688000000000009</v>
      </c>
    </row>
    <row r="131" spans="1:27">
      <c r="A131" s="139" t="s">
        <v>109</v>
      </c>
      <c r="B131">
        <f>47.162*('Cost Model L-PSH'!C110)^1.6615</f>
        <v>2723.946698424043</v>
      </c>
      <c r="C131">
        <f>43.711*('Cost Model L-PSH'!C110)^1.7314</f>
        <v>2994.3919815249051</v>
      </c>
      <c r="D131">
        <f>45.454*('Cost Model L-PSH'!C110)^1.8126</f>
        <v>3796.4909261600906</v>
      </c>
      <c r="E131">
        <f>60.182*('Cost Model L-PSH'!C110)^1.7959</f>
        <v>4825.8152305441936</v>
      </c>
      <c r="L131">
        <f>0.02*('Cost Model L-PSH'!C110)^1.885*1000</f>
        <v>1993.4364659839309</v>
      </c>
      <c r="M131">
        <f>0.0226*('Cost Model L-PSH'!C110)^1.9901*1000</f>
        <v>2911.4757778134895</v>
      </c>
      <c r="N131">
        <f>0.0365*('Cost Model L-PSH'!C110)^1.9417*1000</f>
        <v>4178.1254626161035</v>
      </c>
      <c r="O131">
        <f>0.0483*('Cost Model L-PSH'!C110)^1.9694*1000</f>
        <v>5915.6801610827888</v>
      </c>
      <c r="P131">
        <f>0.0721*('Cost Model L-PSH'!C110)^1.9647*1000</f>
        <v>8729.9074861026329</v>
      </c>
    </row>
    <row r="132" spans="1:27">
      <c r="A132" s="139" t="s">
        <v>653</v>
      </c>
      <c r="B132">
        <f>47.162*('Cost Model L-PSH'!C111)^1.6615</f>
        <v>6600.057681332245</v>
      </c>
      <c r="C132">
        <f>43.711*('Cost Model L-PSH'!C111)^1.7314</f>
        <v>7530.5640306034484</v>
      </c>
      <c r="D132">
        <f>45.454*('Cost Model L-PSH'!C111)^1.8126</f>
        <v>9969.7654142546398</v>
      </c>
      <c r="E132">
        <f>60.182*('Cost Model L-PSH'!C111)^1.7959</f>
        <v>12560.592007456007</v>
      </c>
    </row>
    <row r="161" spans="1:35">
      <c r="A161" s="5" t="s">
        <v>654</v>
      </c>
      <c r="K161" s="5" t="s">
        <v>655</v>
      </c>
      <c r="U161" s="5" t="s">
        <v>656</v>
      </c>
      <c r="AE161" s="5" t="s">
        <v>657</v>
      </c>
    </row>
    <row r="162" spans="1:35">
      <c r="A162" s="4" t="s">
        <v>503</v>
      </c>
      <c r="B162" s="4" t="s">
        <v>658</v>
      </c>
      <c r="C162" s="4" t="s">
        <v>659</v>
      </c>
      <c r="D162" s="4" t="s">
        <v>660</v>
      </c>
      <c r="E162" s="4" t="s">
        <v>661</v>
      </c>
      <c r="K162" s="4" t="s">
        <v>503</v>
      </c>
      <c r="L162" s="4" t="s">
        <v>662</v>
      </c>
      <c r="M162" s="4" t="s">
        <v>663</v>
      </c>
      <c r="N162" s="4" t="s">
        <v>664</v>
      </c>
      <c r="O162" s="4" t="s">
        <v>665</v>
      </c>
      <c r="U162" s="4" t="s">
        <v>503</v>
      </c>
      <c r="V162" s="4" t="s">
        <v>666</v>
      </c>
      <c r="W162" s="4" t="s">
        <v>667</v>
      </c>
      <c r="X162" s="4" t="s">
        <v>668</v>
      </c>
      <c r="Y162" s="4" t="s">
        <v>669</v>
      </c>
      <c r="AE162" s="4" t="s">
        <v>503</v>
      </c>
      <c r="AF162" s="4" t="s">
        <v>670</v>
      </c>
      <c r="AG162" s="4" t="s">
        <v>671</v>
      </c>
      <c r="AH162" s="4" t="s">
        <v>672</v>
      </c>
      <c r="AI162" s="4" t="s">
        <v>673</v>
      </c>
    </row>
    <row r="163" spans="1:35">
      <c r="A163" s="4">
        <v>350</v>
      </c>
      <c r="B163" s="4">
        <v>242</v>
      </c>
      <c r="C163" s="4">
        <v>229</v>
      </c>
      <c r="D163" s="4">
        <v>223</v>
      </c>
      <c r="E163" s="4">
        <v>216</v>
      </c>
      <c r="K163" s="4">
        <v>350</v>
      </c>
      <c r="L163" s="4">
        <v>203</v>
      </c>
      <c r="M163" s="4">
        <v>194</v>
      </c>
      <c r="N163" s="4">
        <v>188</v>
      </c>
      <c r="O163" s="4">
        <v>184</v>
      </c>
      <c r="U163" s="4">
        <v>350</v>
      </c>
      <c r="V163" s="4">
        <v>163</v>
      </c>
      <c r="W163" s="4">
        <v>155</v>
      </c>
      <c r="X163" s="4">
        <v>151</v>
      </c>
      <c r="Y163" s="4">
        <v>146</v>
      </c>
      <c r="AE163" s="4">
        <v>350</v>
      </c>
      <c r="AF163" s="4">
        <v>130</v>
      </c>
      <c r="AG163" s="4">
        <v>124</v>
      </c>
      <c r="AH163" s="4">
        <v>121</v>
      </c>
      <c r="AI163" s="4">
        <v>117</v>
      </c>
    </row>
    <row r="164" spans="1:35">
      <c r="A164" s="4">
        <v>500</v>
      </c>
      <c r="B164" s="4">
        <v>235</v>
      </c>
      <c r="C164" s="4">
        <v>224</v>
      </c>
      <c r="D164" s="4">
        <v>217</v>
      </c>
      <c r="E164" s="4">
        <v>210</v>
      </c>
      <c r="K164" s="4">
        <v>500</v>
      </c>
      <c r="L164" s="4">
        <v>194</v>
      </c>
      <c r="M164" s="4">
        <v>185</v>
      </c>
      <c r="N164" s="4">
        <v>180</v>
      </c>
      <c r="O164" s="4">
        <v>176</v>
      </c>
      <c r="U164" s="4">
        <v>500</v>
      </c>
      <c r="V164" s="4">
        <v>153</v>
      </c>
      <c r="W164" s="4">
        <v>145</v>
      </c>
      <c r="X164" s="4">
        <v>142</v>
      </c>
      <c r="Y164" s="4">
        <v>137</v>
      </c>
      <c r="AE164" s="4">
        <v>500</v>
      </c>
      <c r="AF164" s="4">
        <v>124</v>
      </c>
      <c r="AG164" s="4">
        <v>116</v>
      </c>
      <c r="AH164" s="4">
        <v>114</v>
      </c>
      <c r="AI164" s="4">
        <v>111</v>
      </c>
    </row>
    <row r="165" spans="1:35">
      <c r="A165" s="4">
        <v>1000</v>
      </c>
      <c r="B165" s="4">
        <v>224</v>
      </c>
      <c r="C165" s="4">
        <v>212</v>
      </c>
      <c r="D165" s="4">
        <v>205</v>
      </c>
      <c r="E165" s="4">
        <v>200</v>
      </c>
      <c r="K165" s="4">
        <v>1000</v>
      </c>
      <c r="L165" s="4">
        <v>183</v>
      </c>
      <c r="M165" s="4">
        <v>174</v>
      </c>
      <c r="N165" s="4">
        <v>169</v>
      </c>
      <c r="O165" s="4">
        <v>165</v>
      </c>
      <c r="U165" s="4">
        <v>1000</v>
      </c>
      <c r="V165" s="4">
        <v>139</v>
      </c>
      <c r="W165" s="4">
        <v>134</v>
      </c>
      <c r="X165" s="4">
        <v>130</v>
      </c>
      <c r="Y165" s="4">
        <v>126</v>
      </c>
      <c r="AE165" s="4">
        <v>1000</v>
      </c>
      <c r="AF165" s="4">
        <v>112</v>
      </c>
      <c r="AG165" s="4">
        <v>107</v>
      </c>
      <c r="AH165" s="4">
        <v>105</v>
      </c>
      <c r="AI165" s="4">
        <v>102</v>
      </c>
    </row>
    <row r="166" spans="1:35">
      <c r="A166" s="4">
        <v>1500</v>
      </c>
      <c r="B166" s="4">
        <v>222</v>
      </c>
      <c r="C166" s="4">
        <v>210</v>
      </c>
      <c r="D166" s="4">
        <v>204</v>
      </c>
      <c r="E166" s="4">
        <v>200</v>
      </c>
      <c r="K166" s="4">
        <v>1500</v>
      </c>
      <c r="L166" s="4">
        <v>180</v>
      </c>
      <c r="M166" s="4">
        <v>173</v>
      </c>
      <c r="N166" s="4">
        <v>168</v>
      </c>
      <c r="O166" s="4">
        <v>164</v>
      </c>
      <c r="U166" s="4">
        <v>1500</v>
      </c>
      <c r="V166" s="4">
        <v>138.5</v>
      </c>
      <c r="W166" s="4">
        <v>133.5</v>
      </c>
      <c r="X166" s="4">
        <v>129</v>
      </c>
      <c r="Y166" s="4">
        <v>126</v>
      </c>
      <c r="AE166" s="4">
        <v>1500</v>
      </c>
      <c r="AF166" s="4">
        <v>114</v>
      </c>
      <c r="AG166" s="4">
        <v>107.5</v>
      </c>
      <c r="AH166" s="4">
        <v>105.5</v>
      </c>
      <c r="AI166" s="4">
        <v>103</v>
      </c>
    </row>
    <row r="167" spans="1:35">
      <c r="A167" s="4">
        <v>2000</v>
      </c>
      <c r="B167" s="4">
        <v>237</v>
      </c>
      <c r="C167" s="4">
        <v>226</v>
      </c>
      <c r="D167" s="4">
        <v>220</v>
      </c>
      <c r="E167" s="4">
        <v>215</v>
      </c>
      <c r="K167" s="4">
        <v>2000</v>
      </c>
      <c r="L167" s="4">
        <v>185</v>
      </c>
      <c r="M167" s="4">
        <v>176</v>
      </c>
      <c r="N167" s="4">
        <v>173</v>
      </c>
      <c r="O167" s="4">
        <v>168</v>
      </c>
      <c r="U167" s="4">
        <v>2000</v>
      </c>
      <c r="V167" s="4">
        <v>143</v>
      </c>
      <c r="W167" s="4">
        <v>135.5</v>
      </c>
      <c r="X167" s="4">
        <v>134</v>
      </c>
      <c r="Y167" s="4">
        <v>130</v>
      </c>
      <c r="AE167" s="4">
        <v>2000</v>
      </c>
      <c r="AF167" s="4">
        <v>115</v>
      </c>
      <c r="AG167" s="4">
        <v>110</v>
      </c>
      <c r="AH167" s="4">
        <v>107</v>
      </c>
      <c r="AI167" s="4">
        <v>104.5</v>
      </c>
    </row>
    <row r="168" spans="1:35">
      <c r="A168" s="4">
        <v>2250</v>
      </c>
      <c r="B168" s="4">
        <v>245</v>
      </c>
      <c r="C168" s="4">
        <v>234</v>
      </c>
      <c r="D168" s="4">
        <v>228</v>
      </c>
      <c r="E168" s="4">
        <v>223</v>
      </c>
      <c r="K168" s="4">
        <v>2250</v>
      </c>
      <c r="L168" s="4">
        <v>187</v>
      </c>
      <c r="M168" s="4">
        <v>179</v>
      </c>
      <c r="N168" s="4">
        <v>175</v>
      </c>
      <c r="O168" s="4">
        <v>171</v>
      </c>
      <c r="U168" s="4">
        <v>2250</v>
      </c>
      <c r="V168" s="4">
        <v>145</v>
      </c>
      <c r="W168" s="4">
        <v>137</v>
      </c>
      <c r="X168" s="4">
        <v>135</v>
      </c>
      <c r="Y168" s="4">
        <v>132</v>
      </c>
      <c r="AE168" s="4">
        <v>2250</v>
      </c>
      <c r="AF168" s="4">
        <v>115.5</v>
      </c>
      <c r="AG168" s="4">
        <v>110.5</v>
      </c>
      <c r="AH168" s="4">
        <v>107.5</v>
      </c>
      <c r="AI168" s="4">
        <v>105.5</v>
      </c>
    </row>
    <row r="170" spans="1:35">
      <c r="B170" t="s">
        <v>674</v>
      </c>
      <c r="C170" t="s">
        <v>675</v>
      </c>
      <c r="D170" t="s">
        <v>676</v>
      </c>
      <c r="E170" t="s">
        <v>677</v>
      </c>
      <c r="L170" t="s">
        <v>678</v>
      </c>
      <c r="M170" t="s">
        <v>679</v>
      </c>
      <c r="N170" t="s">
        <v>680</v>
      </c>
      <c r="O170" t="s">
        <v>681</v>
      </c>
      <c r="V170" t="s">
        <v>682</v>
      </c>
      <c r="W170" t="s">
        <v>683</v>
      </c>
      <c r="X170" t="s">
        <v>684</v>
      </c>
      <c r="Y170" t="s">
        <v>685</v>
      </c>
      <c r="AF170" t="s">
        <v>686</v>
      </c>
      <c r="AG170" t="s">
        <v>687</v>
      </c>
      <c r="AH170" t="s">
        <v>688</v>
      </c>
      <c r="AI170" t="s">
        <v>689</v>
      </c>
    </row>
    <row r="171" spans="1:35">
      <c r="B171">
        <f>0.00002*('Cost Model L-PSH'!C89)^2 - 0.0609*'Cost Model L-PSH'!C89 + 259.97</f>
        <v>214.38212000000004</v>
      </c>
      <c r="C171">
        <f>0.00002*('Cost Model L-PSH'!C89)^2 - 0.0609*('Cost Model L-PSH'!C89) + 247.79</f>
        <v>202.20211999999998</v>
      </c>
      <c r="D171">
        <f>0.00002*('Cost Model L-PSH'!C89)^2 - 0.0617*('Cost Model L-PSH'!C89) + 241.53</f>
        <v>194.88132000000002</v>
      </c>
      <c r="E171">
        <f>0.00002*('Cost Model L-PSH'!C89)^2 - 0.0555*('Cost Model L-PSH'!C89) + 232.3</f>
        <v>193.87252000000001</v>
      </c>
      <c r="L171">
        <f>0.00002*('Cost Model L-PSH'!C89)^2 - 0.0485*('Cost Model L-PSH'!C89) + 216.18</f>
        <v>187.03451999999999</v>
      </c>
      <c r="M171">
        <f>0.00002*('Cost Model L-PSH'!C89)^2 - 0.0462*('Cost Model L-PSH'!C89) + 206.27</f>
        <v>180.17432000000002</v>
      </c>
      <c r="N171">
        <f>0.00002*('Cost Model L-PSH'!C89)^2 - 0.0453*('Cost Model L-PSH'!C89) + 200.29</f>
        <v>175.38772</v>
      </c>
      <c r="O171">
        <f>0.00002*('Cost Model L-PSH'!C89)^2 - 0.0456*('Cost Model L-PSH'!C89) + 196.43</f>
        <v>171.12992</v>
      </c>
      <c r="V171">
        <f>0.00002*('Cost Model L-PSH'!C89)^2 - 0.0544*('Cost Model L-PSH'!C89) + 177.56</f>
        <v>140.59111999999999</v>
      </c>
      <c r="W171">
        <f>0.00001*('Cost Model L-PSH'!C89)^2 - 0.0448*('Cost Model L-PSH'!C89) + 166.28</f>
        <v>124.45796</v>
      </c>
      <c r="X171">
        <f>0.00002*('Cost Model L-PSH'!C89)^2 - 0.048*('Cost Model L-PSH'!C89) + 163.78</f>
        <v>135.29751999999999</v>
      </c>
      <c r="Y171">
        <f>0.00002*('Cost Model L-PSH'!C89)^2 - 0.0452*('Cost Model L-PSH'!C89) + 157.75</f>
        <v>132.98032000000001</v>
      </c>
      <c r="AF171">
        <f>0.00001*('Cost Model L-PSH'!C89)^2 - 0.0365*('Cost Model L-PSH'!C89) + 139.89</f>
        <v>109.07375999999999</v>
      </c>
      <c r="AG171">
        <f>0.00001*('Cost Model L-PSH'!C89)^2 - 0.0355*('Cost Model L-PSH'!C89) + 132.8</f>
        <v>103.30976000000001</v>
      </c>
      <c r="AH171">
        <f>0.00001*('Cost Model L-PSH'!C89)^2 - 0.033*('Cost Model L-PSH'!C89) + 129.39</f>
        <v>103.21475999999998</v>
      </c>
      <c r="AI171">
        <f>0.00001*('Cost Model L-PSH'!C89)^2 - 0.0316*('Cost Model L-PSH'!C89) + 125.28</f>
        <v>100.96116000000001</v>
      </c>
    </row>
    <row r="203" spans="1:35">
      <c r="A203" s="5" t="s">
        <v>690</v>
      </c>
      <c r="K203" s="5" t="s">
        <v>691</v>
      </c>
      <c r="U203" s="5" t="s">
        <v>692</v>
      </c>
      <c r="AE203" s="5" t="s">
        <v>693</v>
      </c>
    </row>
    <row r="204" spans="1:35">
      <c r="A204" s="4" t="s">
        <v>503</v>
      </c>
      <c r="B204" s="4" t="s">
        <v>658</v>
      </c>
      <c r="C204" s="4" t="s">
        <v>659</v>
      </c>
      <c r="D204" s="4" t="s">
        <v>660</v>
      </c>
      <c r="E204" s="4" t="s">
        <v>661</v>
      </c>
      <c r="K204" s="4" t="s">
        <v>503</v>
      </c>
      <c r="L204" s="4" t="s">
        <v>662</v>
      </c>
      <c r="M204" s="4" t="s">
        <v>663</v>
      </c>
      <c r="N204" s="4" t="s">
        <v>664</v>
      </c>
      <c r="O204" s="4" t="s">
        <v>665</v>
      </c>
      <c r="U204" s="4" t="s">
        <v>503</v>
      </c>
      <c r="V204" s="4" t="s">
        <v>666</v>
      </c>
      <c r="W204" s="4" t="s">
        <v>667</v>
      </c>
      <c r="X204" s="4" t="s">
        <v>668</v>
      </c>
      <c r="Y204" s="4" t="s">
        <v>669</v>
      </c>
      <c r="AE204" s="4" t="s">
        <v>503</v>
      </c>
      <c r="AF204" s="4" t="s">
        <v>670</v>
      </c>
      <c r="AG204" s="4" t="s">
        <v>671</v>
      </c>
      <c r="AH204" s="4" t="s">
        <v>672</v>
      </c>
      <c r="AI204" s="4" t="s">
        <v>673</v>
      </c>
    </row>
    <row r="205" spans="1:35">
      <c r="A205" s="4">
        <v>350</v>
      </c>
      <c r="B205" s="4">
        <v>237</v>
      </c>
      <c r="C205" s="4">
        <v>225</v>
      </c>
      <c r="D205" s="4">
        <v>219</v>
      </c>
      <c r="E205" s="4">
        <v>214</v>
      </c>
      <c r="K205" s="4">
        <v>350</v>
      </c>
      <c r="L205" s="4">
        <v>200</v>
      </c>
      <c r="M205" s="4">
        <v>190</v>
      </c>
      <c r="N205" s="4">
        <v>185</v>
      </c>
      <c r="O205" s="4">
        <v>183</v>
      </c>
      <c r="U205" s="4">
        <v>350</v>
      </c>
      <c r="V205" s="4">
        <v>157</v>
      </c>
      <c r="W205" s="4">
        <v>151</v>
      </c>
      <c r="X205" s="4">
        <v>146</v>
      </c>
      <c r="Y205" s="4">
        <v>144</v>
      </c>
      <c r="AE205" s="4">
        <v>350</v>
      </c>
      <c r="AF205" s="4">
        <v>133</v>
      </c>
      <c r="AG205" s="4">
        <v>126</v>
      </c>
      <c r="AH205" s="4">
        <v>124</v>
      </c>
      <c r="AI205" s="4">
        <v>120</v>
      </c>
    </row>
    <row r="206" spans="1:35">
      <c r="A206" s="4">
        <v>500</v>
      </c>
      <c r="B206" s="4">
        <v>236.5</v>
      </c>
      <c r="C206" s="4">
        <v>224</v>
      </c>
      <c r="D206" s="4">
        <v>217</v>
      </c>
      <c r="E206" s="4">
        <v>213</v>
      </c>
      <c r="K206" s="4">
        <v>500</v>
      </c>
      <c r="L206" s="4">
        <v>189</v>
      </c>
      <c r="M206" s="4">
        <v>179.5</v>
      </c>
      <c r="N206" s="4">
        <v>176</v>
      </c>
      <c r="O206" s="4">
        <v>171.5</v>
      </c>
      <c r="U206" s="4">
        <v>500</v>
      </c>
      <c r="V206" s="4">
        <v>151</v>
      </c>
      <c r="W206" s="4">
        <v>144.5</v>
      </c>
      <c r="X206" s="4">
        <v>142</v>
      </c>
      <c r="Y206" s="4">
        <v>136</v>
      </c>
      <c r="AE206" s="4">
        <v>500</v>
      </c>
      <c r="AF206" s="4">
        <v>124</v>
      </c>
      <c r="AG206" s="4">
        <v>117</v>
      </c>
      <c r="AH206" s="4">
        <v>115</v>
      </c>
      <c r="AI206" s="4">
        <v>114</v>
      </c>
    </row>
    <row r="207" spans="1:35">
      <c r="A207" s="4">
        <v>1000</v>
      </c>
      <c r="B207" s="4">
        <v>234</v>
      </c>
      <c r="C207" s="4">
        <v>222</v>
      </c>
      <c r="D207" s="4">
        <v>216</v>
      </c>
      <c r="E207" s="4">
        <v>210</v>
      </c>
      <c r="K207" s="4">
        <v>1000</v>
      </c>
      <c r="L207" s="4">
        <v>180</v>
      </c>
      <c r="M207" s="4">
        <v>170.5</v>
      </c>
      <c r="N207" s="4">
        <v>167</v>
      </c>
      <c r="O207" s="4">
        <v>162</v>
      </c>
      <c r="U207" s="4">
        <v>1000</v>
      </c>
      <c r="V207" s="4">
        <v>144</v>
      </c>
      <c r="W207" s="4">
        <v>137</v>
      </c>
      <c r="X207" s="4">
        <v>134</v>
      </c>
      <c r="Y207" s="4">
        <v>130.5</v>
      </c>
      <c r="AE207" s="4">
        <v>1000</v>
      </c>
      <c r="AF207" s="4">
        <v>111.5</v>
      </c>
      <c r="AG207" s="4">
        <v>105.5</v>
      </c>
      <c r="AH207" s="4">
        <v>104</v>
      </c>
      <c r="AI207" s="4">
        <v>101</v>
      </c>
    </row>
    <row r="208" spans="1:35">
      <c r="A208" s="4">
        <v>1500</v>
      </c>
      <c r="B208" s="4">
        <v>234.5</v>
      </c>
      <c r="C208" s="4">
        <v>223</v>
      </c>
      <c r="D208" s="4">
        <v>216.5</v>
      </c>
      <c r="E208" s="4">
        <v>212</v>
      </c>
      <c r="K208" s="4">
        <v>1500</v>
      </c>
      <c r="L208" s="4">
        <v>181.5</v>
      </c>
      <c r="M208" s="4">
        <v>174</v>
      </c>
      <c r="N208" s="4">
        <v>168</v>
      </c>
      <c r="O208" s="4">
        <v>164</v>
      </c>
      <c r="U208" s="4">
        <v>1500</v>
      </c>
      <c r="V208" s="4">
        <v>144</v>
      </c>
      <c r="W208" s="4">
        <v>137.5</v>
      </c>
      <c r="X208" s="4">
        <v>134</v>
      </c>
      <c r="Y208" s="4">
        <v>131</v>
      </c>
      <c r="AE208" s="4">
        <v>1500</v>
      </c>
      <c r="AF208" s="4">
        <v>110</v>
      </c>
      <c r="AG208" s="4">
        <v>105</v>
      </c>
      <c r="AH208" s="4">
        <v>104</v>
      </c>
      <c r="AI208" s="4">
        <v>100</v>
      </c>
    </row>
    <row r="209" spans="1:35">
      <c r="A209" s="4">
        <v>2000</v>
      </c>
      <c r="B209" s="4">
        <v>238.5</v>
      </c>
      <c r="C209" s="4">
        <v>228</v>
      </c>
      <c r="D209" s="4">
        <v>224</v>
      </c>
      <c r="E209" s="4">
        <v>217</v>
      </c>
      <c r="K209" s="4">
        <v>2000</v>
      </c>
      <c r="L209" s="4">
        <v>187.5</v>
      </c>
      <c r="M209" s="4">
        <v>180</v>
      </c>
      <c r="N209" s="4">
        <v>176</v>
      </c>
      <c r="O209" s="4">
        <v>173</v>
      </c>
      <c r="U209" s="4">
        <v>2000</v>
      </c>
      <c r="V209" s="4">
        <v>146</v>
      </c>
      <c r="W209" s="4">
        <v>143</v>
      </c>
      <c r="X209" s="4">
        <v>137</v>
      </c>
      <c r="Y209" s="4">
        <v>135</v>
      </c>
      <c r="AE209" s="4">
        <v>2000</v>
      </c>
      <c r="AF209" s="4">
        <v>110.5</v>
      </c>
      <c r="AG209" s="4">
        <v>105</v>
      </c>
      <c r="AH209" s="4">
        <v>104</v>
      </c>
      <c r="AI209" s="4">
        <v>100.5</v>
      </c>
    </row>
    <row r="210" spans="1:35">
      <c r="A210" s="4">
        <v>2250</v>
      </c>
      <c r="B210" s="4">
        <v>245</v>
      </c>
      <c r="C210" s="4">
        <v>234</v>
      </c>
      <c r="D210" s="4">
        <v>228</v>
      </c>
      <c r="E210" s="4">
        <v>222</v>
      </c>
      <c r="K210" s="4">
        <v>2250</v>
      </c>
      <c r="L210" s="4">
        <v>194</v>
      </c>
      <c r="M210" s="4">
        <v>185</v>
      </c>
      <c r="N210" s="4">
        <v>180</v>
      </c>
      <c r="O210" s="4">
        <v>176</v>
      </c>
      <c r="U210" s="4">
        <v>2250</v>
      </c>
      <c r="V210" s="4">
        <v>150</v>
      </c>
      <c r="W210" s="4">
        <v>144.5</v>
      </c>
      <c r="X210" s="4">
        <v>140.5</v>
      </c>
      <c r="Y210" s="4">
        <v>137</v>
      </c>
      <c r="AE210" s="4">
        <v>2250</v>
      </c>
      <c r="AF210" s="4">
        <v>111</v>
      </c>
      <c r="AG210" s="4">
        <v>105.3</v>
      </c>
      <c r="AH210" s="4">
        <v>104</v>
      </c>
      <c r="AI210" s="4">
        <v>101</v>
      </c>
    </row>
    <row r="212" spans="1:35">
      <c r="B212" t="s">
        <v>694</v>
      </c>
      <c r="C212" t="s">
        <v>695</v>
      </c>
      <c r="D212" t="s">
        <v>696</v>
      </c>
      <c r="E212" t="s">
        <v>697</v>
      </c>
      <c r="L212" t="s">
        <v>698</v>
      </c>
      <c r="M212" t="s">
        <v>699</v>
      </c>
      <c r="N212" t="s">
        <v>700</v>
      </c>
      <c r="O212" t="s">
        <v>701</v>
      </c>
      <c r="V212" t="s">
        <v>702</v>
      </c>
      <c r="W212" t="s">
        <v>703</v>
      </c>
      <c r="X212" t="s">
        <v>704</v>
      </c>
      <c r="Y212" t="s">
        <v>705</v>
      </c>
      <c r="AF212" t="s">
        <v>706</v>
      </c>
      <c r="AG212" t="s">
        <v>707</v>
      </c>
      <c r="AH212" t="s">
        <v>708</v>
      </c>
      <c r="AI212" t="s">
        <v>709</v>
      </c>
    </row>
    <row r="213" spans="1:35">
      <c r="B213">
        <f>0.000008*('Cost Model L-PSH'!C89)^2 - 0.0174*('Cost Model L-PSH'!C89) + 242.74</f>
        <v>233.73380800000001</v>
      </c>
      <c r="C213">
        <f>0.000008*('Cost Model L-PSH'!C89)^2 - 0.017*('Cost Model L-PSH'!C89) + 230.3</f>
        <v>221.824208</v>
      </c>
      <c r="D213">
        <f>0.000008*('Cost Model L-PSH'!C89)^2 - 0.0168*('Cost Model L-PSH'!C89) + 223.7</f>
        <v>215.489408</v>
      </c>
      <c r="E213">
        <f>0.000008*('Cost Model L-PSH'!C89)^2 - 0.0173*('Cost Model L-PSH'!C89) + 219.28</f>
        <v>210.406408</v>
      </c>
      <c r="L213">
        <f>0.00002*('Cost Model L-PSH'!C89)^2 - 0.0499*('Cost Model L-PSH'!C89) + 212.36</f>
        <v>181.35812000000001</v>
      </c>
      <c r="M213">
        <f>0.00002*('Cost Model L-PSH'!C89)^2 - 0.0457*('Cost Model L-PSH'!C89) + 200.9</f>
        <v>175.46732</v>
      </c>
      <c r="N213">
        <f>0.00002*('Cost Model L-PSH'!C89)^2 - 0.046*('Cost Model L-PSH'!C89) + 196.81</f>
        <v>170.97952000000001</v>
      </c>
      <c r="O213">
        <f>0.00002*('Cost Model L-PSH'!C89)^2 - 0.0501*('Cost Model L-PSH'!C89)+ 195</f>
        <v>163.73292000000001</v>
      </c>
      <c r="V213">
        <f>0.00001*('Cost Model L-PSH'!C89)^2 - 0.0319*('Cost Model L-PSH'!C89) + 165.52</f>
        <v>140.80336</v>
      </c>
      <c r="W213">
        <f>0.00001*('Cost Model L-PSH'!C89)^2 - 0.0338*('Cost Model L-PSH'!C89)+ 159.73</f>
        <v>132.49395999999999</v>
      </c>
      <c r="X213">
        <f>0.00001*('Cost Model L-PSH'!C89)^2 - 0.0313*('Cost Model L-PSH'!C89) + 155.12</f>
        <v>131.19896</v>
      </c>
      <c r="Y213">
        <f>0.00001*('Cost Model L-PSH'!C89)^2 - 0.0309*('Cost Model L-PSH'!C89) + 151.13</f>
        <v>127.73936</v>
      </c>
      <c r="AF213">
        <f>0.00001*('Cost Model L-PSH'!C89)^2 - 0.0447*('Cost Model L-PSH'!C89) + 144.85</f>
        <v>103.16056</v>
      </c>
      <c r="AG213">
        <f>0.00001*('Cost Model L-PSH'!C89)^2 - 0.041*('Cost Model L-PSH'!C89)+ 136.46</f>
        <v>99.676760000000002</v>
      </c>
      <c r="AH213">
        <f>0.00001*('Cost Model L-PSH'!C89)^2 - 0.0391*('Cost Model L-PSH'!C89) + 133.75</f>
        <v>99.486159999999998</v>
      </c>
      <c r="AI213">
        <f>0.00001*('Cost Model L-PSH'!C89)^2 - 0.0406*('Cost Model L-PSH'!C89) + 131.67</f>
        <v>95.417159999999996</v>
      </c>
    </row>
    <row r="239" spans="1:24">
      <c r="A239" s="5" t="s">
        <v>710</v>
      </c>
      <c r="K239" s="5" t="s">
        <v>711</v>
      </c>
      <c r="V239" s="5" t="s">
        <v>712</v>
      </c>
    </row>
    <row r="240" spans="1:24">
      <c r="A240" s="4" t="s">
        <v>713</v>
      </c>
      <c r="B240" s="4" t="s">
        <v>594</v>
      </c>
      <c r="K240" s="4" t="s">
        <v>714</v>
      </c>
      <c r="L240" s="4" t="s">
        <v>715</v>
      </c>
      <c r="M240" s="4" t="s">
        <v>716</v>
      </c>
      <c r="N240" s="4" t="s">
        <v>717</v>
      </c>
      <c r="O240" s="4" t="s">
        <v>718</v>
      </c>
      <c r="V240" s="139" t="s">
        <v>719</v>
      </c>
      <c r="W240" s="139" t="s">
        <v>416</v>
      </c>
      <c r="X240" s="139" t="s">
        <v>720</v>
      </c>
    </row>
    <row r="241" spans="1:24">
      <c r="A241" s="4">
        <v>0.25</v>
      </c>
      <c r="B241" s="4">
        <v>2090</v>
      </c>
      <c r="D241" t="s">
        <v>721</v>
      </c>
      <c r="K241" s="4">
        <v>2</v>
      </c>
      <c r="L241" s="4">
        <v>1.4</v>
      </c>
      <c r="M241" s="4">
        <v>1.7</v>
      </c>
      <c r="N241" s="4">
        <v>3.55</v>
      </c>
      <c r="O241" s="4">
        <v>7.35</v>
      </c>
      <c r="V241" s="139" t="s">
        <v>722</v>
      </c>
      <c r="W241" s="15">
        <v>439000</v>
      </c>
      <c r="X241" s="15">
        <v>293000</v>
      </c>
    </row>
    <row r="242" spans="1:24">
      <c r="A242" s="4">
        <v>0.5</v>
      </c>
      <c r="B242" s="4">
        <v>2330</v>
      </c>
      <c r="D242" s="4">
        <f>2489.4*('Cost Model L-PSH'!C39)^0.118</f>
        <v>2555.8188374587603</v>
      </c>
      <c r="K242" s="4">
        <v>3</v>
      </c>
      <c r="L242" s="4">
        <v>2.2000000000000002</v>
      </c>
      <c r="M242" s="4">
        <v>2.8</v>
      </c>
      <c r="N242" s="4">
        <v>6.15</v>
      </c>
      <c r="O242" s="4">
        <v>13.5</v>
      </c>
      <c r="V242" s="139" t="s">
        <v>723</v>
      </c>
      <c r="W242" s="4">
        <v>283000</v>
      </c>
      <c r="X242" s="15">
        <v>186000</v>
      </c>
    </row>
    <row r="243" spans="1:24">
      <c r="A243" s="4">
        <v>1</v>
      </c>
      <c r="B243" s="4">
        <v>2500</v>
      </c>
      <c r="K243" s="4">
        <v>4</v>
      </c>
      <c r="L243" s="4">
        <v>2.75</v>
      </c>
      <c r="M243" s="4">
        <v>3.7</v>
      </c>
      <c r="N243" s="4">
        <v>7.9</v>
      </c>
      <c r="O243" s="4">
        <v>16.5</v>
      </c>
      <c r="V243" s="139" t="s">
        <v>414</v>
      </c>
      <c r="W243" s="4">
        <v>189000</v>
      </c>
      <c r="X243" s="15">
        <v>123000</v>
      </c>
    </row>
    <row r="244" spans="1:24">
      <c r="A244" s="4">
        <v>1.5</v>
      </c>
      <c r="B244" s="4">
        <v>2600</v>
      </c>
      <c r="K244" s="4">
        <v>5</v>
      </c>
      <c r="L244" s="4">
        <v>3.3</v>
      </c>
      <c r="M244" s="4">
        <v>4.4000000000000004</v>
      </c>
      <c r="N244" s="4">
        <v>9.4</v>
      </c>
      <c r="O244" s="4">
        <v>19</v>
      </c>
    </row>
    <row r="245" spans="1:24">
      <c r="A245" s="4">
        <v>2</v>
      </c>
      <c r="B245" s="4">
        <v>2690</v>
      </c>
      <c r="K245" s="4">
        <v>6</v>
      </c>
      <c r="L245" s="4">
        <v>3.65</v>
      </c>
      <c r="M245" s="4">
        <v>4.9000000000000004</v>
      </c>
      <c r="N245" s="4">
        <v>11</v>
      </c>
      <c r="O245" s="4">
        <v>21</v>
      </c>
    </row>
    <row r="247" spans="1:24">
      <c r="L247" t="s">
        <v>724</v>
      </c>
      <c r="M247" t="s">
        <v>725</v>
      </c>
      <c r="N247" t="s">
        <v>726</v>
      </c>
      <c r="O247" t="s">
        <v>727</v>
      </c>
    </row>
    <row r="248" spans="1:24">
      <c r="L248">
        <f>-0.0643*('Cost Model L-PSH'!C106)^2 + 1.0743*'Cost Model L-PSH'!C106 - 0.48</f>
        <v>2.7884000000000002</v>
      </c>
      <c r="M248">
        <f>-0.1*('Cost Model L-PSH'!C106)^2 + 1.6*('Cost Model L-PSH'!C106) - 1.1</f>
        <v>3.7000000000000006</v>
      </c>
      <c r="N248">
        <f>-0.1607*('Cost Model L-PSH'!C106)^2 + 3.1007*('Cost Model L-PSH'!C106) - 1.91</f>
        <v>7.921599999999998</v>
      </c>
      <c r="O248">
        <f>-0.6286*('Cost Model L-PSH'!C106)^2 + 8.3086*('Cost Model L-PSH'!C106) - 6.45</f>
        <v>16.726800000000001</v>
      </c>
      <c r="Q248" s="4">
        <f>IF('Cost Model L-PSH'!C63&lt;=160,'Cost Curves L-PSH'!L248,IF(AND('Cost Model L-PSH'!C63&gt;160,'Cost Model L-PSH'!C63&lt;=230),'Cost Curves L-PSH'!M248,IF(AND('Cost Model L-PSH'!C63&gt;230,'Cost Model L-PSH'!C63&lt;=345),'Cost Curves L-PSH'!N248,IF('Cost Model L-PSH'!C63&gt;345,'Cost Curves L-PSH'!O248))))</f>
        <v>16.726800000000001</v>
      </c>
    </row>
    <row r="274" spans="1:21">
      <c r="A274" s="5" t="s">
        <v>728</v>
      </c>
      <c r="U274" s="5"/>
    </row>
    <row r="275" spans="1:21">
      <c r="A275" s="4" t="s">
        <v>729</v>
      </c>
      <c r="B275" s="4" t="s">
        <v>730</v>
      </c>
      <c r="C275" s="4" t="s">
        <v>716</v>
      </c>
      <c r="D275" s="4" t="s">
        <v>717</v>
      </c>
      <c r="E275" s="4" t="s">
        <v>718</v>
      </c>
      <c r="H275" s="4" t="s">
        <v>731</v>
      </c>
    </row>
    <row r="276" spans="1:21">
      <c r="A276" s="4">
        <v>28.5</v>
      </c>
      <c r="B276" s="4">
        <v>110</v>
      </c>
      <c r="H276" s="139" t="s">
        <v>732</v>
      </c>
      <c r="I276" s="4">
        <v>1.05</v>
      </c>
    </row>
    <row r="277" spans="1:21">
      <c r="A277" s="4">
        <v>30</v>
      </c>
      <c r="B277" s="4">
        <v>112</v>
      </c>
      <c r="H277" s="4" t="s">
        <v>414</v>
      </c>
      <c r="I277" s="4">
        <v>1</v>
      </c>
    </row>
    <row r="278" spans="1:21">
      <c r="A278" s="4">
        <v>40</v>
      </c>
      <c r="B278" s="4">
        <v>115</v>
      </c>
      <c r="H278" s="4" t="s">
        <v>733</v>
      </c>
      <c r="I278" s="4">
        <v>1</v>
      </c>
    </row>
    <row r="279" spans="1:21">
      <c r="A279" s="4">
        <v>50</v>
      </c>
      <c r="B279" s="4">
        <v>120</v>
      </c>
      <c r="H279" s="4" t="s">
        <v>734</v>
      </c>
      <c r="I279" s="4">
        <v>2.25</v>
      </c>
    </row>
    <row r="280" spans="1:21">
      <c r="A280" s="4">
        <v>60</v>
      </c>
      <c r="B280" s="4">
        <v>122</v>
      </c>
      <c r="H280" s="4" t="s">
        <v>735</v>
      </c>
      <c r="I280" s="4">
        <v>1.4</v>
      </c>
    </row>
    <row r="281" spans="1:21">
      <c r="A281" s="4">
        <v>70</v>
      </c>
      <c r="B281" s="4">
        <v>128</v>
      </c>
      <c r="H281" s="4" t="s">
        <v>442</v>
      </c>
      <c r="I281" s="4">
        <v>1.75</v>
      </c>
    </row>
    <row r="282" spans="1:21">
      <c r="A282" s="4">
        <v>80</v>
      </c>
      <c r="B282" s="4">
        <v>132</v>
      </c>
      <c r="H282" s="4" t="s">
        <v>736</v>
      </c>
      <c r="I282" s="4">
        <v>1.2</v>
      </c>
    </row>
    <row r="283" spans="1:21">
      <c r="A283" s="4">
        <v>90</v>
      </c>
      <c r="B283" s="4">
        <v>140</v>
      </c>
      <c r="H283" s="4" t="s">
        <v>737</v>
      </c>
      <c r="I283" s="4">
        <v>1.27</v>
      </c>
    </row>
    <row r="284" spans="1:21">
      <c r="A284" s="4">
        <v>100</v>
      </c>
      <c r="B284" s="4">
        <v>150</v>
      </c>
      <c r="H284" s="4" t="s">
        <v>738</v>
      </c>
      <c r="I284" s="4">
        <v>1.59</v>
      </c>
    </row>
    <row r="285" spans="1:21">
      <c r="A285" s="4">
        <v>125</v>
      </c>
      <c r="B285" s="4">
        <v>172</v>
      </c>
    </row>
    <row r="286" spans="1:21">
      <c r="A286" s="4">
        <v>102</v>
      </c>
      <c r="C286" s="4">
        <v>175</v>
      </c>
      <c r="H286" s="139" t="s">
        <v>739</v>
      </c>
    </row>
    <row r="287" spans="1:21">
      <c r="A287" s="4">
        <v>150</v>
      </c>
      <c r="C287" s="4">
        <v>180</v>
      </c>
      <c r="H287" s="139" t="s">
        <v>444</v>
      </c>
      <c r="I287" s="16">
        <f>AVERAGE(K290:K292)</f>
        <v>1.6004696290247125</v>
      </c>
    </row>
    <row r="288" spans="1:21">
      <c r="A288" s="4">
        <v>200</v>
      </c>
      <c r="C288" s="4">
        <v>190</v>
      </c>
    </row>
    <row r="289" spans="1:11">
      <c r="A289" s="4">
        <v>300</v>
      </c>
      <c r="C289" s="4">
        <v>230</v>
      </c>
      <c r="H289" s="4" t="s">
        <v>740</v>
      </c>
      <c r="I289" s="4" t="s">
        <v>741</v>
      </c>
      <c r="J289" s="4" t="s">
        <v>742</v>
      </c>
    </row>
    <row r="290" spans="1:11">
      <c r="A290" s="4">
        <v>340</v>
      </c>
      <c r="C290" s="4">
        <v>240</v>
      </c>
      <c r="H290" s="4">
        <v>230</v>
      </c>
      <c r="I290" s="162">
        <v>959700</v>
      </c>
      <c r="J290" s="162">
        <v>1536400</v>
      </c>
      <c r="K290" s="4">
        <f>J290/I290</f>
        <v>1.6009169532145462</v>
      </c>
    </row>
    <row r="291" spans="1:11">
      <c r="A291" s="4">
        <v>350</v>
      </c>
      <c r="D291" s="4">
        <v>275</v>
      </c>
      <c r="H291" s="4">
        <v>345</v>
      </c>
      <c r="I291" s="162">
        <v>1343800</v>
      </c>
      <c r="J291" s="162">
        <v>2150300</v>
      </c>
      <c r="K291" s="4">
        <f>J291/I291</f>
        <v>1.6001637148385177</v>
      </c>
    </row>
    <row r="292" spans="1:11">
      <c r="A292" s="4">
        <v>400</v>
      </c>
      <c r="D292" s="4">
        <v>280</v>
      </c>
      <c r="H292" s="4">
        <v>500</v>
      </c>
      <c r="I292" s="162">
        <v>1919450</v>
      </c>
      <c r="J292" s="162">
        <v>3071750</v>
      </c>
      <c r="K292" s="4">
        <f>J292/I292</f>
        <v>1.6003282190210737</v>
      </c>
    </row>
    <row r="293" spans="1:11">
      <c r="A293" s="4">
        <v>500</v>
      </c>
      <c r="D293" s="4">
        <v>285</v>
      </c>
    </row>
    <row r="294" spans="1:11">
      <c r="A294" s="4">
        <v>600</v>
      </c>
      <c r="D294" s="4">
        <v>290</v>
      </c>
    </row>
    <row r="295" spans="1:11">
      <c r="A295" s="4">
        <v>700</v>
      </c>
      <c r="D295" s="4">
        <v>295</v>
      </c>
    </row>
    <row r="296" spans="1:11">
      <c r="A296" s="4">
        <v>800</v>
      </c>
      <c r="D296" s="4">
        <v>305</v>
      </c>
    </row>
    <row r="297" spans="1:11">
      <c r="A297" s="4">
        <v>900</v>
      </c>
      <c r="D297" s="4">
        <v>325</v>
      </c>
      <c r="E297" s="4">
        <v>400</v>
      </c>
    </row>
    <row r="298" spans="1:11">
      <c r="A298" s="4">
        <v>1000</v>
      </c>
      <c r="D298" s="4">
        <v>370</v>
      </c>
      <c r="E298" s="4">
        <v>402</v>
      </c>
    </row>
    <row r="299" spans="1:11">
      <c r="A299" s="4">
        <v>2000</v>
      </c>
      <c r="E299" s="4">
        <v>450</v>
      </c>
    </row>
    <row r="300" spans="1:11">
      <c r="A300" s="4">
        <v>3000</v>
      </c>
      <c r="E300" s="4">
        <v>575</v>
      </c>
    </row>
    <row r="302" spans="1:11">
      <c r="B302" t="s">
        <v>743</v>
      </c>
      <c r="C302" t="s">
        <v>744</v>
      </c>
      <c r="D302" t="s">
        <v>745</v>
      </c>
      <c r="E302" t="s">
        <v>746</v>
      </c>
    </row>
    <row r="303" spans="1:11">
      <c r="B303">
        <f>0.0043*('Cost Model L-PSH'!C105)^2 - 0.028*'Cost Model L-PSH'!C105 + 108.72</f>
        <v>7154.5540653847283</v>
      </c>
      <c r="C303">
        <f>0.0007*('Cost Model L-PSH'!C105)^2 - 0.0382*('Cost Model L-PSH'!C105) + 169.98</f>
        <v>1273.8028086526385</v>
      </c>
      <c r="D303">
        <f>0.0003*('Cost Model L-PSH'!C105)^2 - 0.2536*('Cost Model L-PSH'!C105) + 335.57</f>
        <v>504.1956040996767</v>
      </c>
      <c r="E303">
        <f>0.00004*('Cost Model L-PSH'!C105)^2 - 0.0652*('Cost Model L-PSH'!C105)+ 428.5</f>
        <v>410.70412550747744</v>
      </c>
      <c r="G303" s="4">
        <f>IF('Cost Model L-PSH'!C62&lt;=138,'Cost Curves L-PSH'!B303,IF(AND('Cost Model L-PSH'!C62&gt;138,'Cost Model L-PSH'!C62&lt;=230),'Cost Curves L-PSH'!C303,IF(AND('Cost Model L-PSH'!C62&gt;230,'Cost Model L-PSH'!C62&lt;=345),'Cost Curves L-PSH'!D303,IF('Cost Model L-PSH'!C62&lt;=138&gt;=345,'Cost Curves L-PSH'!E303))))</f>
        <v>410.70412550747744</v>
      </c>
    </row>
    <row r="332" spans="1:2">
      <c r="A332" s="139" t="s">
        <v>106</v>
      </c>
      <c r="B332" s="139" t="str">
        <f>'Cost Model L-PSH'!C47</f>
        <v>Underground</v>
      </c>
    </row>
    <row r="333" spans="1:2">
      <c r="A333" s="139" t="s">
        <v>747</v>
      </c>
      <c r="B333" s="139" t="str">
        <f>IF('Cost Model L-PSH'!C44="Horizontal","Horizontal Intake to Upper low pressure tunnel to Shaft to Upper high pressure tunnel",IF('Cost Model L-PSH'!C44="Vertical","Vertical Intake to Shaft to Upper Tunnel"))</f>
        <v>Vertical Intake to Shaft to Upper Tunnel</v>
      </c>
    </row>
    <row r="334" spans="1:2">
      <c r="A334" s="139" t="s">
        <v>748</v>
      </c>
      <c r="B334" s="139" t="s">
        <v>109</v>
      </c>
    </row>
    <row r="335" spans="1:2">
      <c r="A335" s="139" t="s">
        <v>749</v>
      </c>
      <c r="B335" s="139" t="s">
        <v>750</v>
      </c>
    </row>
    <row r="336" spans="1:2">
      <c r="A336" s="139"/>
      <c r="B336" s="139"/>
    </row>
    <row r="337" spans="1:2">
      <c r="A337" s="139" t="s">
        <v>751</v>
      </c>
      <c r="B337" s="139" t="str">
        <f>IF(AND(B332="Underground",B333="Vertical Intake to Shaft to Upper Tunnel",B334="Tunnel",B335="Tailrace tunnel"),"A",IF(AND(B332="Underground",B333="Horizontal Intake to Upper low pressure tunnel to Shaft to Upper high pressure tunnel",B334="Tunnel",B335="Tailrace tunnel"),"B",IF(AND(B332="Surface",B333="Vertical Intake to Shaft to Upper Tunnel",B334="Tunnel",B335="Direct Discharge"),"C",IF(AND(B332="Surface",B333="Horizontal Intake to Upper low pressure tunnel to Shaft to Upper high pressure tunnel",B334="Tunnel",B335="Tailrace tunnel"),"D",IF(AND(B332="Surface",B333="Horizontal Intake to Upper low pressure tunnel to Shaft to Upper high pressure tunnel",B334="Penstock",B335="Tailrace tunnel"),"E",IF(AND(B332="Surface",B333="Horizontal Intake to Upper low pressure tunnel to Shaft to Upper high pressure tunnel",B334="Penstock",B335="Direct Discharge"),"F","Out of Bounds"))))))</f>
        <v>Out of Bounds</v>
      </c>
    </row>
    <row r="338" spans="1:2">
      <c r="A338" s="5" t="s">
        <v>752</v>
      </c>
    </row>
    <row r="361" spans="1:8">
      <c r="A361" s="139" t="s">
        <v>753</v>
      </c>
      <c r="C361" s="139" t="s">
        <v>754</v>
      </c>
    </row>
    <row r="362" spans="1:8">
      <c r="A362" s="139" t="s">
        <v>755</v>
      </c>
      <c r="B362" s="139" t="s">
        <v>756</v>
      </c>
      <c r="E362" s="139"/>
      <c r="F362" s="139"/>
    </row>
    <row r="363" spans="1:8">
      <c r="A363" s="4">
        <v>400</v>
      </c>
      <c r="B363" s="4">
        <v>65</v>
      </c>
      <c r="D363" s="163">
        <f>'Cost Model L-PSH'!C113*448.83</f>
        <v>4011316.6230670661</v>
      </c>
      <c r="E363" s="139" t="s">
        <v>755</v>
      </c>
    </row>
    <row r="364" spans="1:8">
      <c r="A364" s="4">
        <v>700</v>
      </c>
      <c r="B364" s="4">
        <v>100</v>
      </c>
      <c r="D364" s="139" t="s">
        <v>756</v>
      </c>
    </row>
    <row r="365" spans="1:8">
      <c r="A365" s="4">
        <v>1000</v>
      </c>
      <c r="B365" s="4">
        <v>150</v>
      </c>
      <c r="D365" s="18">
        <f>0.7799*(D363)^0.7442*1000</f>
        <v>64003697.437245458</v>
      </c>
      <c r="E365" s="139" t="s">
        <v>757</v>
      </c>
    </row>
    <row r="366" spans="1:8">
      <c r="A366" s="4">
        <v>5000</v>
      </c>
      <c r="B366" s="4">
        <v>400</v>
      </c>
    </row>
    <row r="367" spans="1:8">
      <c r="A367" s="4">
        <v>10000</v>
      </c>
      <c r="B367" s="4">
        <v>750</v>
      </c>
      <c r="H367" s="139"/>
    </row>
    <row r="368" spans="1:8">
      <c r="A368" s="4">
        <v>15000</v>
      </c>
      <c r="B368" s="4">
        <v>1000</v>
      </c>
      <c r="H368" s="18"/>
    </row>
    <row r="369" spans="1:5">
      <c r="A369" s="4">
        <v>50000</v>
      </c>
      <c r="B369" s="4">
        <v>2500</v>
      </c>
    </row>
    <row r="371" spans="1:5">
      <c r="A371" s="139" t="s">
        <v>758</v>
      </c>
    </row>
    <row r="372" spans="1:5">
      <c r="A372" s="139" t="s">
        <v>759</v>
      </c>
      <c r="B372" s="139" t="s">
        <v>760</v>
      </c>
    </row>
    <row r="373" spans="1:5">
      <c r="A373" s="139" t="s">
        <v>761</v>
      </c>
    </row>
    <row r="374" spans="1:5">
      <c r="A374" s="139" t="s">
        <v>762</v>
      </c>
      <c r="D374" s="4">
        <f>'Cost Model L-PSH'!I10/1000</f>
        <v>1283.3248207034676</v>
      </c>
      <c r="E374" s="17">
        <f>1051.9*(D374^-0.204)*'Market Adj Factors'!C47</f>
        <v>293.33834129672459</v>
      </c>
    </row>
    <row r="375" spans="1:5">
      <c r="E375" s="17"/>
    </row>
    <row r="376" spans="1:5">
      <c r="A376" s="139" t="s">
        <v>763</v>
      </c>
      <c r="B376" s="139" t="s">
        <v>764</v>
      </c>
      <c r="E376" s="17"/>
    </row>
    <row r="377" spans="1:5">
      <c r="A377" s="139" t="s">
        <v>761</v>
      </c>
      <c r="E377" s="17"/>
    </row>
    <row r="378" spans="1:5">
      <c r="A378" s="139" t="s">
        <v>765</v>
      </c>
      <c r="D378" s="18">
        <f>D374</f>
        <v>1283.3248207034676</v>
      </c>
      <c r="E378" s="17">
        <f>697.41*D378^-0.329*'Market Adj Factors'!C47</f>
        <v>79.495120662002549</v>
      </c>
    </row>
    <row r="380" spans="1:5">
      <c r="A380" s="139"/>
    </row>
    <row r="381" spans="1:5">
      <c r="A381" s="139"/>
    </row>
    <row r="383" spans="1:5">
      <c r="A383" s="139"/>
    </row>
    <row r="384" spans="1:5">
      <c r="A384" s="139"/>
    </row>
    <row r="385" spans="1:1">
      <c r="A385" s="139"/>
    </row>
    <row r="388" spans="1:1">
      <c r="A388" s="21"/>
    </row>
    <row r="389" spans="1:1">
      <c r="A389" s="21"/>
    </row>
    <row r="390" spans="1:1">
      <c r="A390" s="22"/>
    </row>
    <row r="391" spans="1:1">
      <c r="A391" s="22"/>
    </row>
    <row r="392" spans="1:1">
      <c r="A392" s="22"/>
    </row>
    <row r="393" spans="1:1">
      <c r="A393" s="22"/>
    </row>
    <row r="394" spans="1:1">
      <c r="A394" s="22"/>
    </row>
    <row r="395" spans="1:1">
      <c r="A395" s="22"/>
    </row>
  </sheetData>
  <mergeCells count="28">
    <mergeCell ref="V86:Y86"/>
    <mergeCell ref="Z86:AC86"/>
    <mergeCell ref="B44:E44"/>
    <mergeCell ref="F44:I44"/>
    <mergeCell ref="L44:O44"/>
    <mergeCell ref="P44:S44"/>
    <mergeCell ref="V44:Y44"/>
    <mergeCell ref="Z44:AC44"/>
    <mergeCell ref="B43:H43"/>
    <mergeCell ref="L43:R43"/>
    <mergeCell ref="V43:AB43"/>
    <mergeCell ref="AF43:AL43"/>
    <mergeCell ref="A85:C85"/>
    <mergeCell ref="V85:AB85"/>
    <mergeCell ref="AF44:AI44"/>
    <mergeCell ref="AJ44:AM44"/>
    <mergeCell ref="B1:H1"/>
    <mergeCell ref="L1:R1"/>
    <mergeCell ref="V1:AB1"/>
    <mergeCell ref="AF1:AL1"/>
    <mergeCell ref="B2:E2"/>
    <mergeCell ref="F2:I2"/>
    <mergeCell ref="L2:O2"/>
    <mergeCell ref="P2:S2"/>
    <mergeCell ref="V2:Y2"/>
    <mergeCell ref="Z2:AC2"/>
    <mergeCell ref="AF2:AI2"/>
    <mergeCell ref="AJ2:AM2"/>
  </mergeCells>
  <dataValidations count="2">
    <dataValidation type="list" allowBlank="1" showInputMessage="1" showErrorMessage="1" sqref="B334" xr:uid="{E406346D-8F92-8A4F-91B5-8DE1ACF91466}">
      <formula1>"Tunnel, Penstock"</formula1>
    </dataValidation>
    <dataValidation type="list" allowBlank="1" showInputMessage="1" showErrorMessage="1" sqref="B335" xr:uid="{61FA4BFC-D472-9949-9DAB-7889E26A297C}">
      <formula1>"Tailrace tunnel, Direct Discharge"</formula1>
    </dataValidation>
  </dataValidations>
  <pageMargins left="0.7" right="0.7" top="0.75" bottom="0.75" header="0.3" footer="0.3"/>
  <pageSetup orientation="portrait" horizontalDpi="360" verticalDpi="36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390BB-1A9A-AE45-8C1A-CABCF4449F17}">
  <sheetPr codeName="Sheet3">
    <tabColor theme="9"/>
  </sheetPr>
  <dimension ref="A2:Y118"/>
  <sheetViews>
    <sheetView zoomScale="85" zoomScaleNormal="85" workbookViewId="0">
      <pane xSplit="4" topLeftCell="E1" activePane="topRight" state="frozen"/>
      <selection pane="topRight" activeCell="E1" sqref="E1"/>
      <selection activeCell="A5" sqref="A5"/>
    </sheetView>
  </sheetViews>
  <sheetFormatPr defaultColWidth="9" defaultRowHeight="11.25"/>
  <cols>
    <col min="1" max="1" width="3.1640625" customWidth="1"/>
    <col min="2" max="2" width="35.6640625" customWidth="1"/>
    <col min="3" max="3" width="19.6640625" bestFit="1" customWidth="1"/>
    <col min="4" max="4" width="17.5" bestFit="1" customWidth="1"/>
    <col min="5" max="5" width="19" bestFit="1" customWidth="1"/>
    <col min="6" max="6" width="40" bestFit="1" customWidth="1"/>
    <col min="7" max="7" width="20" bestFit="1" customWidth="1"/>
    <col min="8" max="8" width="19.6640625" customWidth="1"/>
    <col min="9" max="9" width="16.6640625" customWidth="1"/>
    <col min="10" max="10" width="25.5" customWidth="1"/>
    <col min="11" max="11" width="13.6640625" customWidth="1"/>
    <col min="12" max="12" width="12.5" customWidth="1"/>
    <col min="13" max="13" width="20.5" customWidth="1"/>
    <col min="14" max="14" width="24.6640625" customWidth="1"/>
    <col min="15" max="15" width="20.6640625" bestFit="1" customWidth="1"/>
    <col min="16" max="16" width="13.1640625" bestFit="1" customWidth="1"/>
    <col min="17" max="17" width="20" bestFit="1" customWidth="1"/>
    <col min="18" max="18" width="12.1640625" customWidth="1"/>
    <col min="19" max="19" width="17.1640625" bestFit="1" customWidth="1"/>
    <col min="20" max="20" width="18.1640625" customWidth="1"/>
  </cols>
  <sheetData>
    <row r="2" spans="1:23">
      <c r="B2" s="20"/>
    </row>
    <row r="3" spans="1:23">
      <c r="B3" s="20"/>
    </row>
    <row r="4" spans="1:23">
      <c r="B4" s="19"/>
    </row>
    <row r="5" spans="1:23" ht="15">
      <c r="B5" s="19"/>
      <c r="R5" s="94"/>
    </row>
    <row r="6" spans="1:23" ht="51.75">
      <c r="B6" s="153" t="s">
        <v>36</v>
      </c>
      <c r="C6" s="153"/>
      <c r="D6" s="153"/>
      <c r="F6" s="47" t="s">
        <v>385</v>
      </c>
      <c r="G6" s="48" t="s">
        <v>386</v>
      </c>
      <c r="H6" s="49" t="s">
        <v>245</v>
      </c>
      <c r="I6" s="49" t="s">
        <v>247</v>
      </c>
      <c r="J6" s="50" t="s">
        <v>387</v>
      </c>
      <c r="K6" s="50" t="s">
        <v>251</v>
      </c>
      <c r="L6" s="50" t="s">
        <v>254</v>
      </c>
      <c r="M6" s="50" t="s">
        <v>257</v>
      </c>
      <c r="N6" s="50" t="s">
        <v>388</v>
      </c>
      <c r="O6" s="49" t="s">
        <v>262</v>
      </c>
      <c r="P6" s="49" t="s">
        <v>389</v>
      </c>
      <c r="Q6" s="49" t="s">
        <v>390</v>
      </c>
      <c r="R6" s="49" t="s">
        <v>273</v>
      </c>
      <c r="S6" s="51" t="s">
        <v>275</v>
      </c>
      <c r="T6" s="3"/>
      <c r="U6" s="3"/>
      <c r="V6" s="3"/>
      <c r="W6" s="3"/>
    </row>
    <row r="7" spans="1:23" ht="15.95" customHeight="1">
      <c r="A7" s="1"/>
      <c r="B7" s="153"/>
      <c r="C7" s="153"/>
      <c r="D7" s="153"/>
      <c r="E7" s="23"/>
      <c r="F7" s="52"/>
      <c r="S7" s="53"/>
    </row>
    <row r="8" spans="1:23" ht="12.75">
      <c r="A8" s="1"/>
      <c r="B8" s="32" t="s">
        <v>391</v>
      </c>
      <c r="C8" s="24"/>
      <c r="D8" s="25"/>
      <c r="E8" s="1"/>
      <c r="F8" s="54" t="s">
        <v>277</v>
      </c>
      <c r="G8" s="55" t="s">
        <v>38</v>
      </c>
      <c r="H8" s="55" t="s">
        <v>392</v>
      </c>
      <c r="I8" s="56">
        <f>IF(G8="Yes",IF(O8,O8,C20),0)</f>
        <v>800</v>
      </c>
      <c r="J8" s="57">
        <f>IFERROR(VLOOKUP(C9,'Land Value Data'!$A$3:$G$51,7,FALSE),'Land Value Data'!G51)</f>
        <v>3093.3333333333335</v>
      </c>
      <c r="K8" s="58">
        <v>1</v>
      </c>
      <c r="L8" s="59">
        <f>IF(C51="Yes",'Market Adj Factors'!C45,1)</f>
        <v>2.4063214260550976</v>
      </c>
      <c r="M8" s="59">
        <v>1</v>
      </c>
      <c r="N8" s="60">
        <f>IF(P8,P8,J8*K8*L8*M8)</f>
        <v>7443.5542779304351</v>
      </c>
      <c r="O8" s="61">
        <v>0</v>
      </c>
      <c r="P8" s="62">
        <v>0</v>
      </c>
      <c r="Q8" s="63">
        <f>I8*N8</f>
        <v>5954843.4223443484</v>
      </c>
      <c r="R8" s="64">
        <f>Q8/$Q$52</f>
        <v>1.2004129406437573E-2</v>
      </c>
      <c r="S8" s="65">
        <f>R8</f>
        <v>1.2004129406437573E-2</v>
      </c>
    </row>
    <row r="9" spans="1:23" ht="12.75">
      <c r="A9" s="1"/>
      <c r="B9" s="24" t="s">
        <v>35</v>
      </c>
      <c r="C9" s="24" t="s">
        <v>393</v>
      </c>
      <c r="D9" s="25" t="s">
        <v>394</v>
      </c>
      <c r="E9" s="1"/>
      <c r="F9" s="52"/>
      <c r="H9" s="55"/>
      <c r="I9" s="1"/>
      <c r="N9" s="66"/>
      <c r="O9" s="1"/>
      <c r="P9" s="1"/>
      <c r="Q9" s="1"/>
      <c r="R9" s="1"/>
      <c r="S9" s="67"/>
    </row>
    <row r="10" spans="1:23" ht="12.75">
      <c r="A10" s="1"/>
      <c r="B10" s="24" t="s">
        <v>39</v>
      </c>
      <c r="C10" s="24">
        <v>40</v>
      </c>
      <c r="D10" s="25" t="s">
        <v>395</v>
      </c>
      <c r="E10" s="1"/>
      <c r="F10" s="54" t="s">
        <v>281</v>
      </c>
      <c r="G10" s="55" t="s">
        <v>38</v>
      </c>
      <c r="H10" s="55" t="s">
        <v>396</v>
      </c>
      <c r="I10" s="56">
        <f>IF(G10="Yes",IF(O10,O10,C105*1000),0)</f>
        <v>116216.35821932541</v>
      </c>
      <c r="J10" s="57">
        <f>IF(P10,P10,IF(AND(C46="Average",C47="Underground"),IF(C107&lt;=80,IF(C106&lt;=2,'Cost Curves S-PSH'!B11,IF(AND(C106&gt;2,C106&lt;=3),'Cost Curves S-PSH'!C11,IF(AND(C106&gt;3,C106&lt;=4),'Cost Curves S-PSH'!D11,IF(C106&gt;4,'Cost Curves S-PSH'!E11)))),IF(AND(C107&gt;80,C107&lt;=125),IF(C106&lt;=2,'Cost Curves S-PSH'!B53,IF(AND(C106&gt;2,C106&lt;=3),'Cost Curves S-PSH'!C53,IF(AND(C106&gt;3,C106&lt;=4),'Cost Curves S-PSH'!D53,IF(C106&gt;4,'Cost Curves S-PSH'!E53)))),IF(AND(C107&gt;125,C107&lt;=225),IF(C106&lt;=2,'Cost Curves S-PSH'!L53,IF(AND(C106&gt;2,C106&lt;=3),'Cost Curves S-PSH'!M53,IF(AND(C106&gt;3,C106&lt;=4),'Cost Curves S-PSH'!N53,IF(C106&gt;4,'Cost Curves S-PSH'!O53)))),IF(C107&gt;225,IF(C106&lt;=2,'Cost Curves S-PSH'!L11,IF(AND(C106&gt;2,C106&lt;=3),'Cost Curves S-PSH'!M11,IF(AND(C106&gt;3,C106&lt;=4),'Cost Curves S-PSH'!N11,IF(C106&gt;4,'Cost Curves S-PSH'!O11)))))))),IF(AND(C46="Adverse",C47="Underground"),IF(C107&lt;=80,IF(C106&lt;=2,'Cost Curves S-PSH'!F11,IF(AND(C106&gt;2,C106&lt;=3),'Cost Curves S-PSH'!G11,IF(AND(C106&gt;3,C106&lt;=4),'Cost Curves S-PSH'!H11,IF(C106&gt;4,'Cost Curves S-PSH'!I11)))),IF(AND(C107&gt;80,C107&lt;=125),IF(C106&lt;=2,'Cost Curves S-PSH'!F53,IF(AND(C106&gt;2,C106&lt;=3),'Cost Curves S-PSH'!G53,IF(AND(C106&gt;3,C106&lt;=4),'Cost Curves S-PSH'!H53,IF(C106&gt;4,'Cost Curves S-PSH'!I53)))),IF(AND(C107&gt;125,C107&lt;=225),IF(C106&lt;=2,'Cost Curves S-PSH'!P53,IF(AND(C106&gt;2,C106&lt;=3),'Cost Curves S-PSH'!Q53,IF(AND(C106&gt;3,C106&lt;=4),'Cost Curves S-PSH'!R53,IF(C106&gt;4,'Cost Curves S-PSH'!S53)))),IF(C107&gt;225,IF(C106&lt;=2,'Cost Curves S-PSH'!P11,IF(AND(C106&gt;2,C106&lt;=3),'Cost Curves S-PSH'!Q11,IF(AND(C106&gt;3,C106&lt;=4),'Cost Curves S-PSH'!R11,IF(C106&gt;4,'Cost Curves S-PSH'!S11)))))))),IF(AND(C46="Average",C47="Surface"),IF(C107&lt;=80,IF(C106&lt;=2,'Cost Curves S-PSH'!V11,IF(AND(C106&gt;2,C106&lt;=3),'Cost Curves S-PSH'!W11,IF(AND(C106&gt;3,C106&lt;=4),'Cost Curves S-PSH'!X11,IF(C106&gt;4,'Cost Curves S-PSH'!Y11)))),IF(AND(C107&gt;80,C107&lt;=125),IF(C106&lt;=2,'Cost Curves S-PSH'!V53,IF(AND(C106&gt;2,C106&lt;=3),'Cost Curves S-PSH'!W53,IF(AND(C106&gt;3,C106&lt;=4),'Cost Curves S-PSH'!X53,IF(C106&gt;4,'Cost Curves S-PSH'!Y53)))),IF(AND(C107&gt;125,C107&lt;=225),IF(C106&lt;=2,'Cost Curves S-PSH'!AF53,IF(AND(C106&gt;2,C106&lt;=3),'Cost Curves S-PSH'!AG53,IF(AND(C106&gt;3,C106&lt;=4),'Cost Curves S-PSH'!AH53,IF(C106&gt;4,'Cost Curves S-PSH'!AI53)))),IF(C107&gt;225,IF(C106&lt;=2,'Cost Curves S-PSH'!AF11,IF(AND(C106&gt;2,C106&lt;=3),'Cost Curves S-PSH'!AG11,IF(AND(C106&gt;3,C106&lt;=4),'Cost Curves S-PSH'!AH11,IF(C106&gt;4,'Cost Curves S-PSH'!AI11)))))))),IF(AND(C46="Adverse",C47="Surface"),IF(C107&lt;=80,IF(C106&lt;=2,'Cost Curves S-PSH'!Z11,IF(AND(C106&gt;2,C106&lt;=3),'Cost Curves S-PSH'!AA11,IF(AND(C106&gt;3,C106&lt;=4),'Cost Curves S-PSH'!AB11,IF(C106&gt;4,'Cost Curves S-PSH'!AC11)))),IF(AND(C107&gt;80,C107&lt;=125),IF(C106&lt;=2,'Cost Curves S-PSH'!Z53,IF(AND(C106&gt;2,C106&lt;=3),'Cost Curves S-PSH'!AA53,IF(AND(C106&gt;3,C106&lt;=4),'Cost Curves S-PSH'!AB53,IF(C106&gt;4,'Cost Curves S-PSH'!AC53)))),IF(AND(C107&gt;125,C107&lt;=225),IF(C106&lt;=2,'Cost Curves S-PSH'!AJ53,IF(AND(C106&gt;2,C106&lt;=3),'Cost Curves S-PSH'!AK53,IF(AND(C106&gt;3,C106&lt;=4),'Cost Curves S-PSH'!AL53,IF(C106&gt;4,'Cost Curves S-PSH'!AM53)))),IF(C107&gt;225,IF(C106&lt;=2,'Cost Curves S-PSH'!AJ11,IF(AND(C106&gt;2,C106&lt;=3),'Cost Curves S-PSH'!AK11,IF(AND(C106&gt;3,C106&lt;=4),'Cost Curves S-PSH'!AL11,IF(C106&gt;4,'Cost Curves S-PSH'!AM11)))))))))))))</f>
        <v>59.971711999999997</v>
      </c>
      <c r="K10" s="58">
        <f>VLOOKUP(C9,'Locational Adj Factors'!$A$3:$B$55,2,FALSE)/100</f>
        <v>1</v>
      </c>
      <c r="L10" s="59">
        <f>IF(C51="Yes",'Market Adj Factors'!C45,1)</f>
        <v>2.4063214260550976</v>
      </c>
      <c r="M10" s="59">
        <f>'Market Adj Factors'!C30</f>
        <v>1.3</v>
      </c>
      <c r="N10" s="60">
        <f>IF(P10,P10,J10*K10*L10*M10)</f>
        <v>187.6045802056473</v>
      </c>
      <c r="O10" s="61">
        <v>0</v>
      </c>
      <c r="P10" s="62">
        <v>0</v>
      </c>
      <c r="Q10" s="60">
        <f>N10*I10</f>
        <v>21802721.096765671</v>
      </c>
      <c r="R10" s="64">
        <f>Q10/$Q$52</f>
        <v>4.3951228755399356E-2</v>
      </c>
      <c r="S10" s="65">
        <f>R10</f>
        <v>4.3951228755399356E-2</v>
      </c>
    </row>
    <row r="11" spans="1:23" ht="12.75">
      <c r="A11" s="1"/>
      <c r="B11" s="24" t="s">
        <v>41</v>
      </c>
      <c r="C11" s="24">
        <v>40</v>
      </c>
      <c r="D11" s="25" t="s">
        <v>397</v>
      </c>
      <c r="E11" s="1"/>
      <c r="F11" s="52"/>
      <c r="H11" s="55"/>
      <c r="I11" s="1"/>
      <c r="N11" s="66"/>
      <c r="O11" s="1"/>
      <c r="P11" s="1"/>
      <c r="Q11" s="1"/>
      <c r="R11" s="1"/>
      <c r="S11" s="67"/>
    </row>
    <row r="12" spans="1:23" ht="12.75">
      <c r="A12" s="1"/>
      <c r="B12" s="24" t="s">
        <v>43</v>
      </c>
      <c r="C12" s="24">
        <v>30</v>
      </c>
      <c r="D12" s="25" t="s">
        <v>395</v>
      </c>
      <c r="E12" s="1"/>
      <c r="F12" s="54" t="s">
        <v>285</v>
      </c>
      <c r="H12" s="55"/>
      <c r="I12" s="1"/>
      <c r="N12" s="66"/>
      <c r="O12" s="1"/>
      <c r="P12" s="1"/>
      <c r="Q12" s="1"/>
      <c r="R12" s="1"/>
      <c r="S12" s="67"/>
    </row>
    <row r="13" spans="1:23" ht="12.75">
      <c r="A13" s="1"/>
      <c r="B13" s="24" t="s">
        <v>45</v>
      </c>
      <c r="C13" s="24">
        <v>35</v>
      </c>
      <c r="D13" s="25" t="s">
        <v>397</v>
      </c>
      <c r="E13" s="1"/>
      <c r="F13" s="68" t="s">
        <v>287</v>
      </c>
      <c r="G13" s="55" t="s">
        <v>38</v>
      </c>
      <c r="H13" s="55" t="s">
        <v>398</v>
      </c>
      <c r="I13" s="56">
        <f>IF(G13="Yes",IF(O13,O13,C83),0)</f>
        <v>133521.00000000003</v>
      </c>
      <c r="J13" s="57">
        <f>'Cost Curves S-PSH'!J95</f>
        <v>12.332421456451803</v>
      </c>
      <c r="K13" s="58">
        <f>VLOOKUP(C9,'Locational Adj Factors'!$A$3:$B$55,2,FALSE)/100</f>
        <v>1</v>
      </c>
      <c r="L13" s="59">
        <f>'Market Adj Factors'!C45</f>
        <v>2.4063214260550976</v>
      </c>
      <c r="M13" s="59">
        <f>'Market Adj Factors'!C31</f>
        <v>1.4</v>
      </c>
      <c r="N13" s="57">
        <f>IF(P13,P13,J13*K13*L13*M13)</f>
        <v>41.54607798012222</v>
      </c>
      <c r="O13" s="61">
        <v>0</v>
      </c>
      <c r="P13" s="62">
        <v>0</v>
      </c>
      <c r="Q13" s="60">
        <f>N13*I13</f>
        <v>5547273.8779838998</v>
      </c>
      <c r="R13" s="64">
        <f>Q13/$Q$52</f>
        <v>1.1182526350634721E-2</v>
      </c>
      <c r="S13" s="69">
        <f>SUM(R13:R17)</f>
        <v>5.3126300262386933E-2</v>
      </c>
      <c r="T13" s="106"/>
    </row>
    <row r="14" spans="1:23" ht="12.75">
      <c r="A14" s="1"/>
      <c r="B14" s="30" t="s">
        <v>47</v>
      </c>
      <c r="C14" s="24">
        <v>1004</v>
      </c>
      <c r="D14" s="25" t="s">
        <v>395</v>
      </c>
      <c r="E14" s="1"/>
      <c r="F14" s="68" t="s">
        <v>290</v>
      </c>
      <c r="G14" s="55" t="s">
        <v>38</v>
      </c>
      <c r="H14" s="55" t="s">
        <v>394</v>
      </c>
      <c r="I14" s="1">
        <f>IF(G14="Yes",IF(O14,O14,C93),0)</f>
        <v>1</v>
      </c>
      <c r="J14" s="57">
        <f>IF(C44="Horizontal",'Cost Curves S-PSH'!P88,IF('Cost Model S-PSH'!C44="Vertical",'Cost Curves S-PSH'!P91))*1000000</f>
        <v>238006.8553638235</v>
      </c>
      <c r="K14" s="58">
        <f>VLOOKUP(C9,'Locational Adj Factors'!$A$3:$B$55,2,FALSE)/100</f>
        <v>1</v>
      </c>
      <c r="L14" s="59">
        <f>IF(C51="Yes",'Market Adj Factors'!C45,1)</f>
        <v>2.4063214260550976</v>
      </c>
      <c r="M14" s="59">
        <f>'Market Adj Factors'!C32</f>
        <v>2</v>
      </c>
      <c r="N14" s="57">
        <f>IF(P14,P14,J14*K14*L14*M14)</f>
        <v>1145441.9912199304</v>
      </c>
      <c r="O14" s="61">
        <v>0</v>
      </c>
      <c r="P14" s="62">
        <v>0</v>
      </c>
      <c r="Q14" s="60">
        <f>N14*I14</f>
        <v>1145441.9912199304</v>
      </c>
      <c r="R14" s="64">
        <f>Q14/$Q$52</f>
        <v>2.3090504510290474E-3</v>
      </c>
      <c r="S14" s="69"/>
    </row>
    <row r="15" spans="1:23" ht="12.75">
      <c r="A15" s="1"/>
      <c r="B15" s="24" t="s">
        <v>49</v>
      </c>
      <c r="C15" s="24">
        <v>11080</v>
      </c>
      <c r="D15" s="25" t="s">
        <v>395</v>
      </c>
      <c r="E15" s="1"/>
      <c r="F15" s="68" t="s">
        <v>295</v>
      </c>
      <c r="G15" s="55" t="s">
        <v>38</v>
      </c>
      <c r="H15" s="55" t="s">
        <v>399</v>
      </c>
      <c r="I15" s="91">
        <f>IF(G15="Yes",IF(O15,O15,IF(C96="Yes",40%,0%)),0)</f>
        <v>0.4</v>
      </c>
      <c r="J15" s="70" t="s">
        <v>400</v>
      </c>
      <c r="N15" s="70" t="s">
        <v>400</v>
      </c>
      <c r="O15" s="71">
        <v>0</v>
      </c>
      <c r="P15" s="72" t="s">
        <v>400</v>
      </c>
      <c r="Q15" s="73">
        <f>I15*SUM(Q20:Q25)</f>
        <v>14480699.458118506</v>
      </c>
      <c r="R15" s="64">
        <f>Q15/$Q$52</f>
        <v>2.9191059757966056E-2</v>
      </c>
      <c r="S15" s="69"/>
    </row>
    <row r="16" spans="1:23" ht="12.75">
      <c r="A16" s="1"/>
      <c r="B16" s="24" t="s">
        <v>51</v>
      </c>
      <c r="C16" s="24">
        <v>200</v>
      </c>
      <c r="D16" s="25" t="s">
        <v>401</v>
      </c>
      <c r="E16" s="1"/>
      <c r="F16" s="68" t="s">
        <v>299</v>
      </c>
      <c r="G16" s="55" t="s">
        <v>38</v>
      </c>
      <c r="H16" s="55" t="s">
        <v>394</v>
      </c>
      <c r="I16" s="1">
        <f>IF(G16="Yes",IF(C47="Underground",IF(O16,O16,C93),0))</f>
        <v>0</v>
      </c>
      <c r="J16" s="57">
        <f>IF(C45="Horizontal",'Cost Curves S-PSH'!P88,IF('Cost Model S-PSH'!C45="Vertical",'Cost Curves S-PSH'!P91))*1000000</f>
        <v>1394421.7960548464</v>
      </c>
      <c r="K16" s="58">
        <f>VLOOKUP(C9,'Locational Adj Factors'!$A$3:$B$55,2,FALSE)/100</f>
        <v>1</v>
      </c>
      <c r="L16" s="59">
        <f>IF(C51="Yes",'Market Adj Factors'!C45,1)</f>
        <v>2.4063214260550976</v>
      </c>
      <c r="M16" s="59">
        <f>'Market Adj Factors'!C33</f>
        <v>1.3</v>
      </c>
      <c r="N16" s="57">
        <f>IF(P16,P16,J16*K16*L16*M16)</f>
        <v>4362055.1582465116</v>
      </c>
      <c r="O16" s="61">
        <v>0</v>
      </c>
      <c r="P16" s="62">
        <v>0</v>
      </c>
      <c r="Q16" s="60">
        <f>N16*I16</f>
        <v>0</v>
      </c>
      <c r="R16" s="64">
        <f>Q16/$Q$52</f>
        <v>0</v>
      </c>
      <c r="S16" s="69"/>
    </row>
    <row r="17" spans="1:20" ht="12.75">
      <c r="A17" s="1"/>
      <c r="B17" s="24" t="s">
        <v>53</v>
      </c>
      <c r="C17" s="24">
        <v>30</v>
      </c>
      <c r="D17" s="25" t="s">
        <v>401</v>
      </c>
      <c r="E17" s="1"/>
      <c r="F17" s="68" t="s">
        <v>301</v>
      </c>
      <c r="G17" s="55" t="s">
        <v>38</v>
      </c>
      <c r="H17" s="55" t="s">
        <v>398</v>
      </c>
      <c r="I17" s="56">
        <f>IF(G17="Yes",IF(O17,O17,C84),0)</f>
        <v>100041</v>
      </c>
      <c r="J17" s="57">
        <f>'Cost Curves S-PSH'!J96</f>
        <v>15.372087881863232</v>
      </c>
      <c r="K17" s="58">
        <f>VLOOKUP(C9,'Locational Adj Factors'!$A$3:$B$55,2,FALSE)/100</f>
        <v>1</v>
      </c>
      <c r="L17" s="59">
        <f>IF(C51="Yes",'Market Adj Factors'!C45,1)</f>
        <v>2.4063214260550976</v>
      </c>
      <c r="M17" s="59">
        <f>'Market Adj Factors'!C31</f>
        <v>1.4</v>
      </c>
      <c r="N17" s="57">
        <f>IF(P17,P17,J17*K17*L17*M17)</f>
        <v>51.786258206661181</v>
      </c>
      <c r="O17" s="61">
        <v>0</v>
      </c>
      <c r="P17" s="62">
        <v>0</v>
      </c>
      <c r="Q17" s="60">
        <f>N17*I17</f>
        <v>5180749.0572525915</v>
      </c>
      <c r="R17" s="64">
        <f>Q17/$Q$52</f>
        <v>1.0443663702757105E-2</v>
      </c>
      <c r="S17" s="69"/>
      <c r="T17" s="106"/>
    </row>
    <row r="18" spans="1:20" ht="12.75">
      <c r="A18" s="1"/>
      <c r="B18" s="24" t="s">
        <v>55</v>
      </c>
      <c r="C18" s="24">
        <v>170</v>
      </c>
      <c r="D18" s="25" t="s">
        <v>401</v>
      </c>
      <c r="E18" s="1"/>
      <c r="F18" s="52"/>
      <c r="H18" s="55"/>
      <c r="I18" s="1"/>
      <c r="N18" s="1"/>
      <c r="O18" s="1"/>
      <c r="P18" s="1"/>
      <c r="Q18" s="1"/>
      <c r="R18" s="1"/>
      <c r="S18" s="67"/>
    </row>
    <row r="19" spans="1:20" ht="12.75">
      <c r="A19" s="1"/>
      <c r="B19" s="24" t="s">
        <v>57</v>
      </c>
      <c r="C19" s="24">
        <v>30</v>
      </c>
      <c r="D19" s="25" t="s">
        <v>401</v>
      </c>
      <c r="E19" s="1"/>
      <c r="F19" s="54" t="s">
        <v>303</v>
      </c>
      <c r="H19" s="55"/>
      <c r="I19" s="1"/>
      <c r="N19" s="1"/>
      <c r="O19" s="1"/>
      <c r="P19" s="1"/>
      <c r="Q19" s="1"/>
      <c r="R19" s="1"/>
      <c r="S19" s="67"/>
    </row>
    <row r="20" spans="1:20" ht="12.95" customHeight="1">
      <c r="A20" s="1"/>
      <c r="B20" s="24" t="s">
        <v>59</v>
      </c>
      <c r="C20" s="24">
        <v>800</v>
      </c>
      <c r="D20" s="25" t="s">
        <v>397</v>
      </c>
      <c r="E20" s="1"/>
      <c r="F20" s="68" t="s">
        <v>305</v>
      </c>
      <c r="G20" s="55" t="s">
        <v>38</v>
      </c>
      <c r="H20" s="55" t="s">
        <v>402</v>
      </c>
      <c r="I20" s="56">
        <f>IF(G20="Yes",IF(O20,O20,(C15-C89-I22/C106-I23/C106)*0.5),0)*$C$93</f>
        <v>5113.3</v>
      </c>
      <c r="J20" s="57">
        <f>IF(C34="Average",IF(I20*C25&lt;=0.5,'Cost Curves S-PSH'!V95,IF(AND(I20*C25&gt;0.5,I20*C25&lt;=1),'Cost Curves S-PSH'!W95,IF(AND(I20*C25&gt;1,I20*C25&lt;=2),'Cost Curves S-PSH'!X95,IF(I20*C25&gt;2,'Cost Curves S-PSH'!Y95)))),IF(C34="Poor",IF(I20*C25&lt;=0.5,'Cost Curves S-PSH'!Z95,IF(AND(I20*C25&gt;0.5,I20*C25&lt;=1),'Cost Curves S-PSH'!AA95,IF(AND(I20*C25&gt;1,I20*C25&lt;=2),'Cost Curves S-PSH'!AB95,IF(I20*C25&gt;2,'Cost Curves S-PSH'!AC95))))))</f>
        <v>1246.2714617578945</v>
      </c>
      <c r="K20" s="58">
        <f>VLOOKUP(C9,'Locational Adj Factors'!$A$3:$B$55,2,FALSE)/100</f>
        <v>1</v>
      </c>
      <c r="L20" s="59">
        <f>IF(C51="Yes",'Market Adj Factors'!C45,1)</f>
        <v>2.4063214260550976</v>
      </c>
      <c r="M20" s="59">
        <f>'Market Adj Factors'!C36</f>
        <v>1.6</v>
      </c>
      <c r="N20" s="57">
        <f t="shared" ref="N20:N25" si="0">IF(P20,P20,J20*K20*L20*M20)</f>
        <v>4798.2875537744439</v>
      </c>
      <c r="O20" s="61">
        <v>0</v>
      </c>
      <c r="P20" s="62">
        <v>0</v>
      </c>
      <c r="Q20" s="63">
        <f t="shared" ref="Q20:Q25" si="1">N20*I20</f>
        <v>24535083.748714864</v>
      </c>
      <c r="R20" s="64">
        <f t="shared" ref="R20:R25" si="2">Q20/$Q$52</f>
        <v>4.9459288755136888E-2</v>
      </c>
      <c r="S20" s="69">
        <f>SUM(R20:R25)</f>
        <v>7.2977649394915148E-2</v>
      </c>
      <c r="T20" s="106"/>
    </row>
    <row r="21" spans="1:20" ht="12.75">
      <c r="A21" s="1"/>
      <c r="B21" s="30" t="s">
        <v>62</v>
      </c>
      <c r="C21" s="24">
        <v>10</v>
      </c>
      <c r="D21" s="25" t="s">
        <v>403</v>
      </c>
      <c r="E21" s="1"/>
      <c r="F21" s="68" t="s">
        <v>312</v>
      </c>
      <c r="G21" s="55" t="s">
        <v>38</v>
      </c>
      <c r="H21" s="55" t="s">
        <v>402</v>
      </c>
      <c r="I21" s="56">
        <f>IF(G21="Yes",IF(O21,O21,C89),0)*C93</f>
        <v>853.4</v>
      </c>
      <c r="J21" s="57">
        <f>'Cost Curves S-PSH'!AI90</f>
        <v>2015.9323352599367</v>
      </c>
      <c r="K21" s="58">
        <f>VLOOKUP(C9,'Locational Adj Factors'!$A$3:$B$55,2,FALSE)/100</f>
        <v>1</v>
      </c>
      <c r="L21" s="59">
        <f>IF(C51="Yes",'Market Adj Factors'!C45,1)</f>
        <v>2.4063214260550976</v>
      </c>
      <c r="M21" s="59">
        <f>'Market Adj Factors'!C35</f>
        <v>1.8</v>
      </c>
      <c r="N21" s="57">
        <f t="shared" si="0"/>
        <v>8731.7661092638937</v>
      </c>
      <c r="O21" s="61">
        <v>0</v>
      </c>
      <c r="P21" s="62">
        <v>0</v>
      </c>
      <c r="Q21" s="63">
        <f t="shared" si="1"/>
        <v>7451689.1976458067</v>
      </c>
      <c r="R21" s="64">
        <f t="shared" si="2"/>
        <v>1.5021560615590034E-2</v>
      </c>
      <c r="S21" s="69"/>
    </row>
    <row r="22" spans="1:20" ht="12.75">
      <c r="A22" s="1"/>
      <c r="B22" s="24"/>
      <c r="C22" s="24"/>
      <c r="D22" s="25"/>
      <c r="E22" s="1"/>
      <c r="F22" s="68" t="s">
        <v>317</v>
      </c>
      <c r="G22" s="55" t="s">
        <v>38</v>
      </c>
      <c r="H22" s="55" t="s">
        <v>402</v>
      </c>
      <c r="I22" s="92">
        <f>IF(G22="Yes",IF(C48="Underground",IF(O22,O22,C89*0.25),0))*$C$106</f>
        <v>0</v>
      </c>
      <c r="J22" s="57">
        <f>IF(C14&lt;=500,'Cost Curves S-PSH'!B131,IF(AND(C14&gt;500,C14&lt;=1000),'Cost Curves S-PSH'!C131,IF(AND(C14&gt;1000,C14&lt;=1500),'Cost Curves S-PSH'!D131,IF(C14&gt;1500,'Cost Curves S-PSH'!E131))))</f>
        <v>2816.1983103691109</v>
      </c>
      <c r="K22" s="58">
        <f>VLOOKUP(C9,'Locational Adj Factors'!$A$3:$B$55,2,FALSE)/100</f>
        <v>1</v>
      </c>
      <c r="L22" s="59">
        <f>IF($C$51="Yes",'Market Adj Factors'!$C$45,1)</f>
        <v>2.4063214260550976</v>
      </c>
      <c r="M22" s="59">
        <f>'Market Adj Factors'!C37</f>
        <v>1.9</v>
      </c>
      <c r="N22" s="57">
        <f t="shared" si="0"/>
        <v>12875.688835096575</v>
      </c>
      <c r="O22" s="61">
        <v>0</v>
      </c>
      <c r="P22" s="62">
        <v>0</v>
      </c>
      <c r="Q22" s="63">
        <f t="shared" si="1"/>
        <v>0</v>
      </c>
      <c r="R22" s="64">
        <f t="shared" si="2"/>
        <v>0</v>
      </c>
      <c r="S22" s="69"/>
    </row>
    <row r="23" spans="1:20" ht="12.75">
      <c r="A23" s="1"/>
      <c r="B23" s="32" t="s">
        <v>404</v>
      </c>
      <c r="C23" s="24"/>
      <c r="D23" s="24"/>
      <c r="E23" s="1"/>
      <c r="F23" s="68" t="s">
        <v>322</v>
      </c>
      <c r="G23" s="55" t="s">
        <v>38</v>
      </c>
      <c r="H23" s="55" t="s">
        <v>402</v>
      </c>
      <c r="I23" s="92">
        <f>IF(G23="Yes",IF(C47="Underground",IF(O23,O23,150),0))*$C$106</f>
        <v>0</v>
      </c>
      <c r="J23" s="57">
        <f>IF(C47="Underground",IF(C14-C88&lt;=500,'Cost Curves S-PSH'!B131,IF(AND(C14-C88&gt;500,C14-C88&lt;=1000),'Cost Curves S-PSH'!C131,IF(AND(C14-C88&gt;1000,C14-C88&lt;=1500),'Cost Curves S-PSH'!D131,IF(C14-C88&gt;1500,'Cost Curves S-PSH'!E131)))),0)</f>
        <v>0</v>
      </c>
      <c r="K23" s="58">
        <f>VLOOKUP($C$9,'Locational Adj Factors'!$A$3:$B$55,2,FALSE)/100</f>
        <v>1</v>
      </c>
      <c r="L23" s="59">
        <f>IF($C$51="Yes",'Market Adj Factors'!$C$45,1)</f>
        <v>2.4063214260550976</v>
      </c>
      <c r="M23" s="59">
        <f>'Market Adj Factors'!C38</f>
        <v>1.9</v>
      </c>
      <c r="N23" s="57">
        <f t="shared" si="0"/>
        <v>0</v>
      </c>
      <c r="O23" s="61">
        <v>0</v>
      </c>
      <c r="P23" s="62">
        <v>0</v>
      </c>
      <c r="Q23" s="63">
        <f>N23*I23</f>
        <v>0</v>
      </c>
      <c r="R23" s="64">
        <f t="shared" si="2"/>
        <v>0</v>
      </c>
      <c r="S23" s="69"/>
    </row>
    <row r="24" spans="1:20" ht="12.75">
      <c r="A24" s="1"/>
      <c r="B24" s="25" t="s">
        <v>64</v>
      </c>
      <c r="C24" s="24">
        <v>3.28084</v>
      </c>
      <c r="D24" s="25" t="s">
        <v>395</v>
      </c>
      <c r="E24" s="1"/>
      <c r="F24" s="107" t="s">
        <v>326</v>
      </c>
      <c r="G24" s="55" t="s">
        <v>38</v>
      </c>
      <c r="H24" s="55" t="s">
        <v>402</v>
      </c>
      <c r="I24" s="119">
        <f>IF(G24="Yes",IF(O24,O24,(C15-C89-I22/C106-I23/C106)*0.5),0)*$C$93</f>
        <v>5113.3</v>
      </c>
      <c r="J24" s="57">
        <f>IF(C47="Underground",IF(C14&lt;=500,'Cost Curves S-PSH'!B131,IF(AND(C14&gt;500,C14&lt;=1000),'Cost Curves S-PSH'!C131,IF(AND(C14&gt;1000,C14&lt;=1500),'Cost Curves S-PSH'!D131,IF(C14&gt;1500,'Cost Curves S-PSH'!E131)))),0)</f>
        <v>0</v>
      </c>
      <c r="K24" s="58">
        <f>VLOOKUP($C$9,'Locational Adj Factors'!$A$3:$B$55,2,FALSE)/100</f>
        <v>1</v>
      </c>
      <c r="L24" s="59">
        <f>IF($C$51="Yes",'Market Adj Factors'!$C$45,1)</f>
        <v>2.4063214260550976</v>
      </c>
      <c r="M24" s="59">
        <f>'Market Adj Factors'!C36</f>
        <v>1.6</v>
      </c>
      <c r="N24" s="57">
        <f t="shared" si="0"/>
        <v>0</v>
      </c>
      <c r="O24" s="61">
        <v>0</v>
      </c>
      <c r="P24" s="62">
        <v>0</v>
      </c>
      <c r="Q24" s="63">
        <f t="shared" si="1"/>
        <v>0</v>
      </c>
      <c r="R24" s="64">
        <f t="shared" si="2"/>
        <v>0</v>
      </c>
      <c r="S24" s="69"/>
    </row>
    <row r="25" spans="1:20" ht="12.75">
      <c r="A25" s="1"/>
      <c r="B25" s="25" t="s">
        <v>66</v>
      </c>
      <c r="C25" s="41">
        <v>1.8939400000000001E-4</v>
      </c>
      <c r="D25" s="25" t="s">
        <v>405</v>
      </c>
      <c r="E25" s="1"/>
      <c r="F25" s="107" t="s">
        <v>329</v>
      </c>
      <c r="G25" s="55" t="s">
        <v>38</v>
      </c>
      <c r="H25" s="55" t="s">
        <v>402</v>
      </c>
      <c r="I25" s="56">
        <f>IF(G25="Yes",IF(O25,O25,IF( C48="Surface",C106*C89*0.25,0)),0)</f>
        <v>213.35</v>
      </c>
      <c r="J25" s="57">
        <f>IF(OR(C104&lt;100, C48="Surface"),IF(C14&lt;=300,'Cost Curves S-PSH'!L131,IF(AND(C14&gt;300,C14&lt;=500),'Cost Curves S-PSH'!M131,IF(AND(C14&gt;500,C14&lt;=700),'Cost Curves S-PSH'!N131,IF(AND(C14&gt;700,C14&lt;=1000),'Cost Curves S-PSH'!O131,IF(C14&gt;1000,'Cost Curves S-PSH'!P131))))),0)</f>
        <v>6315.4665250341204</v>
      </c>
      <c r="K25" s="58">
        <f>VLOOKUP($C$9,'Locational Adj Factors'!$A$3:$B$55,2,FALSE)/100</f>
        <v>1</v>
      </c>
      <c r="L25" s="59">
        <f>IF($C$51="Yes",'Market Adj Factors'!$C$45,1)</f>
        <v>2.4063214260550976</v>
      </c>
      <c r="M25" s="59">
        <f>'Market Adj Factors'!C34</f>
        <v>1.3</v>
      </c>
      <c r="N25" s="57">
        <f t="shared" si="0"/>
        <v>19756.155139140337</v>
      </c>
      <c r="O25" s="61">
        <v>0</v>
      </c>
      <c r="P25" s="62">
        <v>0</v>
      </c>
      <c r="Q25" s="63">
        <f t="shared" si="1"/>
        <v>4214975.6989355907</v>
      </c>
      <c r="R25" s="64">
        <f t="shared" si="2"/>
        <v>8.4968000241882145E-3</v>
      </c>
      <c r="S25" s="69"/>
      <c r="T25" s="106"/>
    </row>
    <row r="26" spans="1:20" ht="12.75">
      <c r="A26" s="1"/>
      <c r="B26" s="24" t="s">
        <v>68</v>
      </c>
      <c r="C26" s="45">
        <v>43559.9</v>
      </c>
      <c r="D26" s="25" t="s">
        <v>406</v>
      </c>
      <c r="E26" s="1"/>
      <c r="F26" s="96"/>
      <c r="H26" s="55"/>
      <c r="I26" s="1"/>
      <c r="N26" s="1"/>
      <c r="O26" s="1"/>
      <c r="P26" s="1"/>
      <c r="Q26" s="1"/>
      <c r="R26" s="1"/>
      <c r="S26" s="67"/>
    </row>
    <row r="27" spans="1:20" ht="12.75">
      <c r="A27" s="1"/>
      <c r="B27" s="24" t="s">
        <v>70</v>
      </c>
      <c r="C27" s="45">
        <v>1613.33</v>
      </c>
      <c r="D27" s="25" t="s">
        <v>398</v>
      </c>
      <c r="E27" s="1"/>
      <c r="F27" s="54" t="s">
        <v>334</v>
      </c>
      <c r="H27" s="55"/>
      <c r="I27" s="1"/>
      <c r="N27" s="1"/>
      <c r="O27" s="1"/>
      <c r="P27" s="1"/>
      <c r="Q27" s="1"/>
      <c r="R27" s="1"/>
      <c r="S27" s="67"/>
    </row>
    <row r="28" spans="1:20" ht="12.95" customHeight="1">
      <c r="A28" s="1"/>
      <c r="B28" s="24" t="s">
        <v>72</v>
      </c>
      <c r="C28" s="46">
        <v>3600</v>
      </c>
      <c r="D28" s="25" t="s">
        <v>407</v>
      </c>
      <c r="E28" s="1"/>
      <c r="F28" s="95" t="s">
        <v>336</v>
      </c>
      <c r="G28" s="55" t="s">
        <v>38</v>
      </c>
      <c r="H28" s="55" t="s">
        <v>399</v>
      </c>
      <c r="I28" s="74">
        <f>IF(G28="Yes",1,0)</f>
        <v>1</v>
      </c>
      <c r="J28" s="57">
        <f>IF(C104&gt;100,0,'Cost Curves S-PSH'!D365)</f>
        <v>15862782.028809585</v>
      </c>
      <c r="K28" s="58">
        <f>VLOOKUP($C$9,'Locational Adj Factors'!$A$3:$B$55,2,FALSE)/100</f>
        <v>1</v>
      </c>
      <c r="L28" s="59">
        <v>1</v>
      </c>
      <c r="M28" s="59">
        <v>1</v>
      </c>
      <c r="N28" s="57">
        <f t="shared" ref="N28:N29" si="3">IF(P28,P28,J28*K28*L28*M28)</f>
        <v>15862782.028809585</v>
      </c>
      <c r="O28" s="61">
        <v>0</v>
      </c>
      <c r="P28" s="62">
        <v>0</v>
      </c>
      <c r="Q28" s="63">
        <f>N28*I28</f>
        <v>15862782.028809585</v>
      </c>
      <c r="R28" s="64">
        <f>Q28/$Q$52</f>
        <v>3.1977144437657944E-2</v>
      </c>
      <c r="S28" s="69">
        <f>IF(AND(R28=0%,R29=0%),R30,IF(R30=0%,SUM(R28:R29)))</f>
        <v>0.14414865277816821</v>
      </c>
      <c r="T28" s="106"/>
    </row>
    <row r="29" spans="1:20" ht="12.75">
      <c r="A29" s="1"/>
      <c r="B29" s="24" t="s">
        <v>74</v>
      </c>
      <c r="C29" s="46">
        <v>1000000</v>
      </c>
      <c r="D29" s="25" t="s">
        <v>408</v>
      </c>
      <c r="E29" s="1"/>
      <c r="F29" s="95" t="s">
        <v>340</v>
      </c>
      <c r="G29" s="55" t="s">
        <v>38</v>
      </c>
      <c r="H29" s="55" t="s">
        <v>396</v>
      </c>
      <c r="I29" s="74">
        <f>IF(G29="Yes",IF(C104&lt;=100,IF(O29,O29,I10),0),0)</f>
        <v>116216.35821932541</v>
      </c>
      <c r="J29" s="57">
        <f>IF(C104&gt;100,0,IF(C104&lt;=100,'Cost Curves S-PSH'!E374,'Cost Curves S-PSH'!E378))</f>
        <v>478.8009193183359</v>
      </c>
      <c r="K29" s="58">
        <f>VLOOKUP($C$9,'Locational Adj Factors'!$A$3:$B$55,2,FALSE)/100</f>
        <v>1</v>
      </c>
      <c r="L29" s="59">
        <v>1</v>
      </c>
      <c r="M29" s="59">
        <v>1</v>
      </c>
      <c r="N29" s="57">
        <f t="shared" si="3"/>
        <v>478.8009193183359</v>
      </c>
      <c r="O29" s="61">
        <v>0</v>
      </c>
      <c r="P29" s="62">
        <v>0</v>
      </c>
      <c r="Q29" s="63">
        <f>N29*I29</f>
        <v>55644499.155242048</v>
      </c>
      <c r="R29" s="64">
        <f>Q29/$Q$52</f>
        <v>0.11217150834051026</v>
      </c>
      <c r="S29" s="69"/>
    </row>
    <row r="30" spans="1:20" ht="12.75">
      <c r="B30" s="24" t="s">
        <v>76</v>
      </c>
      <c r="C30" s="38">
        <v>9.81</v>
      </c>
      <c r="D30" s="25" t="s">
        <v>409</v>
      </c>
      <c r="E30" s="1"/>
      <c r="F30" s="95" t="s">
        <v>343</v>
      </c>
      <c r="G30" s="55" t="s">
        <v>38</v>
      </c>
      <c r="H30" s="55" t="s">
        <v>396</v>
      </c>
      <c r="I30" s="74">
        <f>IF(G30="Yes",IF(C104&gt;100,IF(O30,O30,C105*1000),0),0)</f>
        <v>0</v>
      </c>
      <c r="J30" s="57">
        <f>IF(C104&lt;=100,0,IF(C47="Underground", IF(C107&lt;=80,IF(C106&lt;=2,'Cost Curves S-PSH'!B171,IF(AND(C106&gt;2,C106&lt;=3),'Cost Curves S-PSH'!C171,IF(AND(C106&gt;3,C106&lt;=4),'Cost Curves S-PSH'!D171,IF(C106&gt;4,'Cost Curves S-PSH'!E171)))),IF(AND(C107&gt;80,C107&lt;=125),IF(C106&lt;=2,'Cost Curves S-PSH'!L171,IF(AND(C106&gt;2,C106&lt;=3),'Cost Curves S-PSH'!M171,IF(AND(C106&gt;3,C106&lt;=4),'Cost Curves S-PSH'!N171,IF(C106&gt;4,'Cost Curves S-PSH'!O171)))),IF(AND(C107&gt;125,C107&lt;=225),IF(C106&lt;=2,'Cost Curves S-PSH'!V171,IF(AND(C106&gt;2,C106&lt;=3),'Cost Curves S-PSH'!W171,IF(AND(C106&gt;3,C106&lt;=4),'Cost Curves S-PSH'!X171,IF(C106&gt;4,'Cost Curves S-PSH'!Y171)))),IF(C107&gt;225,IF(C106&lt;=2,'Cost Curves S-PSH'!AF171,IF(AND(C106&gt;2,C106&lt;=3),'Cost Curves S-PSH'!AG171,IF(AND(C106&gt;3,C106&lt;=4),'Cost Curves S-PSH'!AH171,IF(C106&gt;4,'Cost Curves S-PSH'!AI171)))))))),IF(C47="Surface", IF(C107&lt;=80,IF(C106&lt;=2,'Cost Curves S-PSH'!B213,IF(AND(C106&gt;2,C106&lt;=3),'Cost Curves S-PSH'!C213,IF(AND(C106&gt;3,C106&lt;=4),'Cost Curves S-PSH'!D213,IF(C106&gt;4,'Cost Curves S-PSH'!E213)))),IF(AND(C107&gt;80,C107&lt;=125),IF(C106&lt;=2,'Cost Curves S-PSH'!L213,IF(AND(C106&gt;2,C106&lt;=3),'Cost Curves S-PSH'!M213,IF(AND(C106&gt;3,C106&lt;=4),'Cost Curves S-PSH'!N213,IF(C106&gt;4,'Cost Curves S-PSH'!O213)))),IF(AND(C107&gt;125,C107&lt;=225),IF(C106&lt;=2,'Cost Curves S-PSH'!V213,IF(AND(C106&gt;2,C106&lt;=3),'Cost Curves S-PSH'!W213,IF(AND(C106&gt;3,C106&lt;=4),'Cost Curves S-PSH'!X213,IF(C106&gt;4,'Cost Curves S-PSH'!Y213)))),IF(C107&gt;225,IF(C106&lt;=2,'Cost Curves S-PSH'!AF213,IF(AND(C106&gt;2,C106&lt;=3),'Cost Curves S-PSH'!AG213,IF(AND(C106&gt;3,C106&lt;=4),'Cost Curves S-PSH'!AH213,IF(C106&gt;4,'Cost Curves S-PSH'!AI213)))))))))))</f>
        <v>0</v>
      </c>
      <c r="K30" s="58">
        <f>VLOOKUP($C$9,'Locational Adj Factors'!$A$3:$B$55,2,FALSE)/100</f>
        <v>1</v>
      </c>
      <c r="L30" s="59">
        <f>IF($C$51="Yes",'Market Adj Factors'!$C$45,1)</f>
        <v>2.4063214260550976</v>
      </c>
      <c r="M30" s="59">
        <f>'Market Adj Factors'!C41</f>
        <v>1.7</v>
      </c>
      <c r="N30" s="57">
        <f>IF(P30,P30,J30*K30*L30*M30)</f>
        <v>0</v>
      </c>
      <c r="O30" s="61">
        <v>0</v>
      </c>
      <c r="P30" s="62">
        <v>0</v>
      </c>
      <c r="Q30" s="60">
        <f>N30*I30</f>
        <v>0</v>
      </c>
      <c r="R30" s="64">
        <f>Q30/$Q$52</f>
        <v>0</v>
      </c>
      <c r="S30" s="69"/>
    </row>
    <row r="31" spans="1:20" ht="12.75">
      <c r="B31" s="24" t="s">
        <v>78</v>
      </c>
      <c r="C31" s="46">
        <v>1000</v>
      </c>
      <c r="D31" s="25" t="s">
        <v>410</v>
      </c>
      <c r="E31" s="1"/>
      <c r="F31" s="96"/>
      <c r="H31" s="55"/>
      <c r="I31" s="1"/>
      <c r="J31" s="57"/>
      <c r="K31" s="58"/>
      <c r="L31" s="59"/>
      <c r="M31" s="59"/>
      <c r="N31" s="57"/>
      <c r="O31" s="1"/>
      <c r="P31" s="1"/>
      <c r="Q31" s="1"/>
      <c r="R31" s="1"/>
      <c r="S31" s="67"/>
    </row>
    <row r="32" spans="1:20" ht="12.75">
      <c r="B32" s="24"/>
      <c r="C32" s="41"/>
      <c r="D32" s="25"/>
      <c r="E32" s="1"/>
      <c r="F32" s="54" t="s">
        <v>347</v>
      </c>
      <c r="H32" s="55"/>
      <c r="I32" s="1"/>
      <c r="J32" s="57"/>
      <c r="K32" s="58"/>
      <c r="L32" s="59"/>
      <c r="M32" s="59"/>
      <c r="N32" s="57"/>
      <c r="O32" s="1"/>
      <c r="P32" s="1"/>
      <c r="Q32" s="1"/>
      <c r="R32" s="1"/>
      <c r="S32" s="67"/>
    </row>
    <row r="33" spans="2:20" ht="12.75">
      <c r="B33" s="32" t="s">
        <v>411</v>
      </c>
      <c r="C33" s="24"/>
      <c r="D33" s="25"/>
      <c r="E33" s="1"/>
      <c r="F33" s="68" t="s">
        <v>349</v>
      </c>
      <c r="G33" s="55" t="s">
        <v>38</v>
      </c>
      <c r="H33" s="55" t="s">
        <v>412</v>
      </c>
      <c r="I33" s="1">
        <f>IF(G33="Yes",IF(O33,O33,C38),0)</f>
        <v>3.61</v>
      </c>
      <c r="J33" s="57">
        <f>INDEX('Cost Curves S-PSH'!W241:X243,MATCH('Cost Model S-PSH'!C35,'Cost Curves S-PSH'!V241:V243,0),MATCH('Cost Model S-PSH'!C36,'Cost Curves S-PSH'!W240:X240,0))</f>
        <v>189000</v>
      </c>
      <c r="K33" s="58">
        <f>VLOOKUP($C$9,'Locational Adj Factors'!$A$3:$B$55,2,FALSE)/100</f>
        <v>1</v>
      </c>
      <c r="L33" s="59">
        <f>IF($C$51="Yes",'Market Adj Factors'!$C$45,1)</f>
        <v>2.4063214260550976</v>
      </c>
      <c r="M33" s="59">
        <f>'Market Adj Factors'!C40</f>
        <v>1</v>
      </c>
      <c r="N33" s="57">
        <f>IF(P33,P33,J33*K33*L33*M33)</f>
        <v>454794.74952441343</v>
      </c>
      <c r="O33" s="61">
        <v>0</v>
      </c>
      <c r="P33" s="62">
        <v>0</v>
      </c>
      <c r="Q33" s="63">
        <f>N33*I33</f>
        <v>1641809.0457831325</v>
      </c>
      <c r="R33" s="64">
        <f>Q33/$Q$52</f>
        <v>3.3096568370359473E-3</v>
      </c>
      <c r="S33" s="69">
        <f>SUM(R33:R35)</f>
        <v>4.137071046294934E-3</v>
      </c>
      <c r="T33" s="106"/>
    </row>
    <row r="34" spans="2:20" ht="12.75">
      <c r="B34" s="24" t="s">
        <v>80</v>
      </c>
      <c r="C34" s="24" t="s">
        <v>413</v>
      </c>
      <c r="D34" s="25" t="s">
        <v>394</v>
      </c>
      <c r="E34" s="1"/>
      <c r="F34" s="68" t="s">
        <v>351</v>
      </c>
      <c r="G34" s="55" t="s">
        <v>38</v>
      </c>
      <c r="H34" s="55" t="s">
        <v>402</v>
      </c>
      <c r="I34" s="75">
        <f>IF(G34="Yes",IF(C47="Surface",0,IF(O34,O34,C39*5280)),0)</f>
        <v>0</v>
      </c>
      <c r="J34" s="57">
        <f>IF(C47="Surface",0,'Cost Curves S-PSH'!D242)</f>
        <v>0</v>
      </c>
      <c r="K34" s="58">
        <f>VLOOKUP($C$9,'Locational Adj Factors'!$A$3:$B$55,2,FALSE)/100</f>
        <v>1</v>
      </c>
      <c r="L34" s="59">
        <f>IF($C$51="Yes",'Market Adj Factors'!$C$45,1)</f>
        <v>2.4063214260550976</v>
      </c>
      <c r="M34" s="59">
        <f>'Market Adj Factors'!C39</f>
        <v>1</v>
      </c>
      <c r="N34" s="57">
        <f>IF(P34,P34,J34*K34*L34*M34)</f>
        <v>0</v>
      </c>
      <c r="O34" s="61">
        <v>0</v>
      </c>
      <c r="P34" s="62">
        <v>0</v>
      </c>
      <c r="Q34" s="63">
        <f>N34*I34</f>
        <v>0</v>
      </c>
      <c r="R34" s="64">
        <f>Q34/$Q$52</f>
        <v>0</v>
      </c>
      <c r="S34" s="69"/>
    </row>
    <row r="35" spans="2:20" ht="12.75">
      <c r="B35" s="24" t="s">
        <v>82</v>
      </c>
      <c r="C35" s="24" t="s">
        <v>414</v>
      </c>
      <c r="D35" s="25" t="s">
        <v>394</v>
      </c>
      <c r="E35" s="1"/>
      <c r="F35" s="68" t="s">
        <v>86</v>
      </c>
      <c r="G35" s="55" t="s">
        <v>38</v>
      </c>
      <c r="H35" s="55" t="s">
        <v>415</v>
      </c>
      <c r="I35" s="93">
        <f>IF(G35="Yes",IF(C37="Yes",25%,0%),0)</f>
        <v>0.25</v>
      </c>
      <c r="J35" s="57"/>
      <c r="K35" s="58"/>
      <c r="L35" s="59"/>
      <c r="M35" s="59"/>
      <c r="N35" s="60"/>
      <c r="O35" s="71">
        <v>0</v>
      </c>
      <c r="P35" s="72" t="s">
        <v>400</v>
      </c>
      <c r="Q35" s="63">
        <f>Q33*I35</f>
        <v>410452.26144578314</v>
      </c>
      <c r="R35" s="64">
        <f>Q35/$Q$52</f>
        <v>8.2741420925898682E-4</v>
      </c>
      <c r="S35" s="69"/>
      <c r="T35" s="106"/>
    </row>
    <row r="36" spans="2:20" ht="12.75">
      <c r="B36" s="24" t="s">
        <v>84</v>
      </c>
      <c r="C36" s="24" t="s">
        <v>416</v>
      </c>
      <c r="D36" s="25" t="s">
        <v>394</v>
      </c>
      <c r="E36" s="1"/>
      <c r="F36" s="52"/>
      <c r="H36" s="55"/>
      <c r="I36" s="1"/>
      <c r="J36" s="57"/>
      <c r="K36" s="58"/>
      <c r="L36" s="59"/>
      <c r="M36" s="59"/>
      <c r="N36" s="57"/>
      <c r="O36" s="1"/>
      <c r="P36" s="1"/>
      <c r="Q36" s="1"/>
      <c r="R36" s="1"/>
      <c r="S36" s="67"/>
    </row>
    <row r="37" spans="2:20" ht="12.75">
      <c r="B37" s="24" t="s">
        <v>86</v>
      </c>
      <c r="C37" s="24" t="s">
        <v>38</v>
      </c>
      <c r="D37" s="24" t="s">
        <v>394</v>
      </c>
      <c r="E37" s="1"/>
      <c r="F37" s="54" t="s">
        <v>358</v>
      </c>
      <c r="G37" s="55" t="s">
        <v>38</v>
      </c>
      <c r="H37" s="55" t="s">
        <v>399</v>
      </c>
      <c r="I37" s="1">
        <f>IF(G37="Yes",1,0)</f>
        <v>1</v>
      </c>
      <c r="J37" s="57">
        <f>'Cost Curves S-PSH'!Q248*1000000</f>
        <v>1030000</v>
      </c>
      <c r="K37" s="58">
        <f>VLOOKUP($C$9,'Locational Adj Factors'!$A$3:$B$55,2,FALSE)/100</f>
        <v>1</v>
      </c>
      <c r="L37" s="59">
        <f>IF($C$51="Yes",'Market Adj Factors'!$C$45,1)</f>
        <v>2.4063214260550976</v>
      </c>
      <c r="M37" s="59">
        <f>'Market Adj Factors'!C43</f>
        <v>1</v>
      </c>
      <c r="N37" s="57">
        <f>IF(P37,P37,J37*K37*L37*M37)</f>
        <v>2478511.0688367505</v>
      </c>
      <c r="O37" s="61">
        <v>0</v>
      </c>
      <c r="P37" s="62">
        <v>0</v>
      </c>
      <c r="Q37" s="63">
        <f>N37*I37</f>
        <v>2478511.0688367505</v>
      </c>
      <c r="R37" s="64">
        <f>Q37/$Q$52</f>
        <v>4.996330800901414E-3</v>
      </c>
      <c r="S37" s="65">
        <f>R37</f>
        <v>4.996330800901414E-3</v>
      </c>
    </row>
    <row r="38" spans="2:20" ht="12.75">
      <c r="B38" s="24" t="s">
        <v>88</v>
      </c>
      <c r="C38" s="24">
        <v>3.61</v>
      </c>
      <c r="D38" s="25" t="s">
        <v>405</v>
      </c>
      <c r="E38" s="1"/>
      <c r="F38" s="52"/>
      <c r="H38" s="55"/>
      <c r="I38" s="1"/>
      <c r="J38" s="57"/>
      <c r="K38" s="58"/>
      <c r="L38" s="59"/>
      <c r="M38" s="59"/>
      <c r="N38" s="57"/>
      <c r="O38" s="1"/>
      <c r="P38" s="1"/>
      <c r="Q38" s="1"/>
      <c r="R38" s="1"/>
      <c r="S38" s="67"/>
    </row>
    <row r="39" spans="2:20" ht="12.75">
      <c r="B39" s="24" t="s">
        <v>91</v>
      </c>
      <c r="C39" s="24">
        <v>0.75</v>
      </c>
      <c r="D39" s="25" t="s">
        <v>405</v>
      </c>
      <c r="E39" s="1"/>
      <c r="F39" s="54" t="s">
        <v>362</v>
      </c>
      <c r="G39" s="55" t="s">
        <v>38</v>
      </c>
      <c r="H39" s="55" t="s">
        <v>412</v>
      </c>
      <c r="I39" s="1">
        <f>IF(G39="Yes",C61,0)</f>
        <v>30</v>
      </c>
      <c r="J39" s="57">
        <f>'Cost Curves S-PSH'!G303*1000*C117*C118</f>
        <v>1180442.6203923973</v>
      </c>
      <c r="K39" s="58">
        <f>VLOOKUP($C$9,'Locational Adj Factors'!$A$3:$B$55,2,FALSE)/100</f>
        <v>1</v>
      </c>
      <c r="L39" s="59">
        <f>IF($C$51="Yes",'Market Adj Factors'!$C$45,1)</f>
        <v>2.4063214260550976</v>
      </c>
      <c r="M39" s="59">
        <f>'Market Adj Factors'!C42</f>
        <v>1.3</v>
      </c>
      <c r="N39" s="57">
        <f>IF(P39,P39,J39*K39*L39*M39)</f>
        <v>3692681.6805825047</v>
      </c>
      <c r="O39" s="61">
        <v>0</v>
      </c>
      <c r="P39" s="76">
        <v>0</v>
      </c>
      <c r="Q39" s="63">
        <f>N39*I39</f>
        <v>110780450.41747513</v>
      </c>
      <c r="R39" s="64">
        <f>Q39/$Q$52</f>
        <v>0.22331785543259136</v>
      </c>
      <c r="S39" s="65">
        <f>R39</f>
        <v>0.22331785543259136</v>
      </c>
    </row>
    <row r="40" spans="2:20" ht="12.75">
      <c r="B40" s="30" t="s">
        <v>417</v>
      </c>
      <c r="C40" s="24" t="s">
        <v>38</v>
      </c>
      <c r="D40" s="25" t="s">
        <v>394</v>
      </c>
      <c r="E40" s="1"/>
      <c r="F40" s="52"/>
      <c r="H40" s="55"/>
      <c r="I40" s="1"/>
      <c r="N40" s="1"/>
      <c r="O40" s="1"/>
      <c r="P40" s="1"/>
      <c r="Q40" s="1"/>
      <c r="R40" s="1"/>
      <c r="S40" s="77"/>
    </row>
    <row r="41" spans="2:20" ht="12.75">
      <c r="B41" s="30" t="s">
        <v>418</v>
      </c>
      <c r="C41" s="24">
        <v>0</v>
      </c>
      <c r="D41" s="25" t="s">
        <v>419</v>
      </c>
      <c r="E41" s="1"/>
      <c r="F41" s="54" t="s">
        <v>366</v>
      </c>
      <c r="H41" s="55"/>
      <c r="I41" s="1"/>
      <c r="N41" s="1"/>
      <c r="O41" s="1"/>
      <c r="P41" s="1"/>
      <c r="Q41" s="1"/>
      <c r="R41" s="1"/>
      <c r="S41" s="77"/>
    </row>
    <row r="42" spans="2:20" ht="12.75">
      <c r="B42" s="30"/>
      <c r="C42" s="24"/>
      <c r="D42" s="25"/>
      <c r="F42" s="68" t="s">
        <v>94</v>
      </c>
      <c r="G42" s="55" t="s">
        <v>38</v>
      </c>
      <c r="H42" s="55" t="s">
        <v>396</v>
      </c>
      <c r="I42" s="74">
        <f>IF(G42="Yes",IF(C40="Yes",C105*1000,0),0)</f>
        <v>116216.35821932541</v>
      </c>
      <c r="J42" s="57">
        <f>C41</f>
        <v>0</v>
      </c>
      <c r="K42" s="58">
        <f>VLOOKUP($C$9,'Locational Adj Factors'!$A$3:$B$55,2,FALSE)/100</f>
        <v>1</v>
      </c>
      <c r="L42" s="59">
        <v>1</v>
      </c>
      <c r="M42" s="59">
        <v>1</v>
      </c>
      <c r="N42" s="57">
        <f>IF(P42,P42,J42*K42*L42*M42)</f>
        <v>0</v>
      </c>
      <c r="O42" s="61">
        <v>0</v>
      </c>
      <c r="P42" s="76">
        <v>0</v>
      </c>
      <c r="Q42" s="63">
        <f>N42*I42</f>
        <v>0</v>
      </c>
      <c r="R42" s="64">
        <f t="shared" ref="R42" si="4">Q42/$Q$52</f>
        <v>0</v>
      </c>
      <c r="S42" s="65">
        <f>SUM(R42:R43)</f>
        <v>0</v>
      </c>
    </row>
    <row r="43" spans="2:20" ht="12.75">
      <c r="B43" s="32" t="s">
        <v>420</v>
      </c>
      <c r="C43" s="24"/>
      <c r="D43" s="25"/>
      <c r="F43" s="68"/>
      <c r="G43" s="55"/>
      <c r="H43" s="55"/>
      <c r="I43" s="74"/>
      <c r="J43" s="57"/>
      <c r="K43" s="58"/>
      <c r="L43" s="59"/>
      <c r="M43" s="59"/>
      <c r="N43" s="57"/>
      <c r="O43" s="1"/>
      <c r="P43" s="1"/>
      <c r="Q43" s="63"/>
      <c r="R43" s="64"/>
      <c r="S43" s="77"/>
    </row>
    <row r="44" spans="2:20" ht="12.75">
      <c r="B44" s="24" t="s">
        <v>98</v>
      </c>
      <c r="C44" s="24" t="s">
        <v>421</v>
      </c>
      <c r="D44" s="25" t="s">
        <v>394</v>
      </c>
      <c r="F44" s="54" t="s">
        <v>370</v>
      </c>
      <c r="H44" s="55"/>
      <c r="I44" s="1"/>
      <c r="N44" s="1"/>
      <c r="O44" s="1"/>
      <c r="P44" s="1"/>
      <c r="Q44" s="1"/>
      <c r="R44" s="1"/>
      <c r="S44" s="77"/>
    </row>
    <row r="45" spans="2:20" ht="12.75">
      <c r="B45" s="24" t="s">
        <v>101</v>
      </c>
      <c r="C45" s="24" t="s">
        <v>422</v>
      </c>
      <c r="D45" s="25" t="s">
        <v>394</v>
      </c>
      <c r="F45" s="68" t="s">
        <v>116</v>
      </c>
      <c r="G45" s="55" t="s">
        <v>38</v>
      </c>
      <c r="H45" s="55" t="s">
        <v>415</v>
      </c>
      <c r="I45" s="78">
        <f>IF(G45="Yes",IF(O45,O45,C52),0)</f>
        <v>0.05</v>
      </c>
      <c r="N45" s="1"/>
      <c r="O45" s="71">
        <v>0</v>
      </c>
      <c r="P45" s="72" t="s">
        <v>400</v>
      </c>
      <c r="Q45" s="60">
        <f>I45*SUM(Q8:Q42)</f>
        <v>13856599.076328684</v>
      </c>
      <c r="R45" s="64">
        <f t="shared" ref="R45:R50" si="5">Q45/$Q$52</f>
        <v>2.7932960893854747E-2</v>
      </c>
      <c r="S45" s="69">
        <f>SUM(R45:R50)</f>
        <v>0.44134078212290501</v>
      </c>
      <c r="T45" s="106"/>
    </row>
    <row r="46" spans="2:20" ht="12.75">
      <c r="B46" s="24" t="s">
        <v>423</v>
      </c>
      <c r="C46" s="24" t="s">
        <v>413</v>
      </c>
      <c r="D46" s="25" t="s">
        <v>394</v>
      </c>
      <c r="F46" s="68" t="s">
        <v>118</v>
      </c>
      <c r="G46" s="55" t="s">
        <v>38</v>
      </c>
      <c r="H46" s="55" t="s">
        <v>415</v>
      </c>
      <c r="I46" s="78">
        <f>IF(G46="Yes",IF(O46,O46,C54),0)</f>
        <v>0.06</v>
      </c>
      <c r="N46" s="1"/>
      <c r="O46" s="71">
        <v>0</v>
      </c>
      <c r="P46" s="72" t="s">
        <v>400</v>
      </c>
      <c r="Q46" s="60">
        <f>I46*C53*SUM(Q8:Q42)</f>
        <v>16627918.891594419</v>
      </c>
      <c r="R46" s="64">
        <f t="shared" si="5"/>
        <v>3.3519553072625698E-2</v>
      </c>
      <c r="S46" s="53"/>
    </row>
    <row r="47" spans="2:20" ht="12.75">
      <c r="B47" s="24" t="s">
        <v>106</v>
      </c>
      <c r="C47" s="24" t="s">
        <v>766</v>
      </c>
      <c r="D47" s="25" t="s">
        <v>394</v>
      </c>
      <c r="F47" s="68" t="s">
        <v>120</v>
      </c>
      <c r="G47" s="55" t="s">
        <v>38</v>
      </c>
      <c r="H47" s="55" t="s">
        <v>415</v>
      </c>
      <c r="I47" s="78">
        <f>IF(G47="Yes",IF(O47,O47,C55),0)</f>
        <v>0.33</v>
      </c>
      <c r="N47" s="1"/>
      <c r="O47" s="71">
        <v>0</v>
      </c>
      <c r="P47" s="72" t="s">
        <v>400</v>
      </c>
      <c r="Q47" s="63">
        <f>SUM(Q8:Q42)*I47</f>
        <v>91453553.903769314</v>
      </c>
      <c r="R47" s="64">
        <f t="shared" si="5"/>
        <v>0.18435754189944134</v>
      </c>
      <c r="S47" s="69"/>
    </row>
    <row r="48" spans="2:20" ht="12.75">
      <c r="B48" s="24" t="s">
        <v>109</v>
      </c>
      <c r="C48" s="24" t="s">
        <v>766</v>
      </c>
      <c r="D48" s="25" t="s">
        <v>394</v>
      </c>
      <c r="F48" s="68" t="s">
        <v>122</v>
      </c>
      <c r="G48" s="55" t="s">
        <v>38</v>
      </c>
      <c r="H48" s="55" t="s">
        <v>415</v>
      </c>
      <c r="I48" s="78">
        <f>IF(G48="Yes",IF(O48,O48,C56),0)</f>
        <v>0.25</v>
      </c>
      <c r="N48" s="1"/>
      <c r="O48" s="71">
        <v>0</v>
      </c>
      <c r="P48" s="72" t="s">
        <v>400</v>
      </c>
      <c r="Q48" s="63">
        <f>I48*C53*SUM(Q8:Q42)</f>
        <v>69282995.381643414</v>
      </c>
      <c r="R48" s="64">
        <f t="shared" si="5"/>
        <v>0.13966480446927373</v>
      </c>
      <c r="S48" s="69"/>
    </row>
    <row r="49" spans="2:25" ht="12.75">
      <c r="B49" s="24"/>
      <c r="C49" s="24"/>
      <c r="D49" s="25"/>
      <c r="F49" s="68" t="s">
        <v>124</v>
      </c>
      <c r="G49" s="55" t="s">
        <v>38</v>
      </c>
      <c r="H49" s="55" t="s">
        <v>415</v>
      </c>
      <c r="I49" s="78">
        <f>IF(G49="Yes",IF(O49,O49,C57),0)</f>
        <v>0.03</v>
      </c>
      <c r="N49" s="1"/>
      <c r="O49" s="71">
        <v>0</v>
      </c>
      <c r="P49" s="72" t="s">
        <v>400</v>
      </c>
      <c r="Q49" s="63">
        <f>SUM(Q8:Q42)*I49</f>
        <v>8313959.4457972096</v>
      </c>
      <c r="R49" s="64">
        <f t="shared" si="5"/>
        <v>1.6759776536312849E-2</v>
      </c>
      <c r="S49" s="69"/>
    </row>
    <row r="50" spans="2:25" ht="12.75">
      <c r="B50" s="32" t="s">
        <v>426</v>
      </c>
      <c r="C50" s="33"/>
      <c r="D50" s="33"/>
      <c r="F50" s="68" t="s">
        <v>377</v>
      </c>
      <c r="G50" s="55" t="s">
        <v>38</v>
      </c>
      <c r="H50" s="55" t="s">
        <v>415</v>
      </c>
      <c r="I50" s="78">
        <f>IF(G50="Yes",IF(O50,O50,C58),0)</f>
        <v>7.0000000000000007E-2</v>
      </c>
      <c r="N50" s="1"/>
      <c r="O50" s="71">
        <v>0</v>
      </c>
      <c r="P50" s="72" t="s">
        <v>400</v>
      </c>
      <c r="Q50" s="63">
        <f>SUM(Q8:Q42)*I50*C53</f>
        <v>19399238.706860159</v>
      </c>
      <c r="R50" s="64">
        <f t="shared" si="5"/>
        <v>3.9106145251396648E-2</v>
      </c>
      <c r="S50" s="69"/>
    </row>
    <row r="51" spans="2:25" ht="12.75">
      <c r="B51" s="24" t="s">
        <v>112</v>
      </c>
      <c r="C51" s="24" t="s">
        <v>38</v>
      </c>
      <c r="D51" s="25" t="s">
        <v>394</v>
      </c>
      <c r="F51" s="52"/>
      <c r="H51" s="1"/>
      <c r="I51" s="1"/>
      <c r="N51" s="1"/>
      <c r="O51" s="1"/>
      <c r="P51" s="1"/>
      <c r="Q51" s="1"/>
      <c r="S51" s="53"/>
    </row>
    <row r="52" spans="2:25" ht="12.75">
      <c r="B52" s="30" t="s">
        <v>427</v>
      </c>
      <c r="C52" s="34">
        <v>0.05</v>
      </c>
      <c r="D52" s="25" t="s">
        <v>415</v>
      </c>
      <c r="F52" s="79" t="s">
        <v>379</v>
      </c>
      <c r="G52" s="80"/>
      <c r="H52" s="80"/>
      <c r="I52" s="81"/>
      <c r="J52" s="80"/>
      <c r="K52" s="80"/>
      <c r="L52" s="80"/>
      <c r="M52" s="80"/>
      <c r="N52" s="81"/>
      <c r="O52" s="81"/>
      <c r="P52" s="81"/>
      <c r="Q52" s="82">
        <f>SUM(Q8:Q50)</f>
        <v>496066246.93256688</v>
      </c>
      <c r="R52" s="83">
        <f>SUM(R8:R50)</f>
        <v>0.99999999999999989</v>
      </c>
      <c r="S52" s="84">
        <f>SUM(S8:S50)</f>
        <v>1</v>
      </c>
    </row>
    <row r="53" spans="2:25" ht="12.75">
      <c r="B53" s="30" t="s">
        <v>428</v>
      </c>
      <c r="C53" s="34">
        <v>1</v>
      </c>
      <c r="D53" s="25" t="s">
        <v>415</v>
      </c>
      <c r="J53" s="1"/>
      <c r="K53" s="1"/>
      <c r="L53" s="1"/>
      <c r="M53" s="1"/>
      <c r="N53" s="1"/>
      <c r="O53" s="1"/>
      <c r="P53" s="1"/>
    </row>
    <row r="54" spans="2:25" ht="15.75">
      <c r="B54" s="24" t="s">
        <v>429</v>
      </c>
      <c r="C54" s="34">
        <v>0.06</v>
      </c>
      <c r="D54" s="25" t="s">
        <v>415</v>
      </c>
      <c r="F54" s="47" t="s">
        <v>430</v>
      </c>
      <c r="G54" s="85"/>
      <c r="J54" s="1"/>
      <c r="K54" s="1"/>
      <c r="L54" s="1"/>
      <c r="M54" s="1"/>
      <c r="N54" s="1"/>
      <c r="O54" s="1"/>
      <c r="P54" s="1"/>
      <c r="Q54" s="106"/>
    </row>
    <row r="55" spans="2:25" ht="12.75">
      <c r="B55" s="30" t="s">
        <v>431</v>
      </c>
      <c r="C55" s="34">
        <v>0.33</v>
      </c>
      <c r="D55" s="25" t="s">
        <v>415</v>
      </c>
      <c r="F55" s="54" t="s">
        <v>432</v>
      </c>
      <c r="G55" s="86">
        <f>Q52</f>
        <v>496066246.93256688</v>
      </c>
      <c r="J55" s="1"/>
      <c r="K55" s="1"/>
      <c r="L55" s="1"/>
      <c r="M55" s="1"/>
      <c r="N55" s="1"/>
      <c r="O55" s="1"/>
      <c r="P55" s="1"/>
    </row>
    <row r="56" spans="2:25" ht="12.75">
      <c r="B56" s="30" t="s">
        <v>433</v>
      </c>
      <c r="C56" s="34">
        <v>0.25</v>
      </c>
      <c r="D56" s="25" t="s">
        <v>415</v>
      </c>
      <c r="F56" s="54" t="s">
        <v>381</v>
      </c>
      <c r="G56" s="86">
        <f>G55/(C105*1000)</f>
        <v>4268.4717928984019</v>
      </c>
      <c r="J56" s="1"/>
      <c r="K56" s="1"/>
      <c r="L56" s="1"/>
      <c r="M56" s="1"/>
      <c r="N56" s="1"/>
      <c r="O56" s="1"/>
      <c r="P56" s="1"/>
    </row>
    <row r="57" spans="2:25" s="3" customFormat="1" ht="14.1" customHeight="1">
      <c r="B57" s="24" t="s">
        <v>434</v>
      </c>
      <c r="C57" s="34">
        <v>0.03</v>
      </c>
      <c r="D57" s="25" t="s">
        <v>415</v>
      </c>
      <c r="F57" s="79" t="s">
        <v>383</v>
      </c>
      <c r="G57" s="87">
        <f>G55/(C105*C21*1000)</f>
        <v>426.84717928984026</v>
      </c>
      <c r="H57"/>
      <c r="I57"/>
      <c r="J57" s="1"/>
      <c r="K57" s="1"/>
      <c r="L57" s="1"/>
      <c r="M57" s="1"/>
      <c r="N57" s="1"/>
      <c r="O57" s="1"/>
      <c r="P57" s="1"/>
      <c r="Q57"/>
      <c r="R57"/>
      <c r="S57"/>
      <c r="T57"/>
      <c r="U57"/>
      <c r="V57"/>
      <c r="W57"/>
      <c r="X57"/>
    </row>
    <row r="58" spans="2:25" ht="12.75">
      <c r="B58" s="24" t="s">
        <v>435</v>
      </c>
      <c r="C58" s="34">
        <v>7.0000000000000007E-2</v>
      </c>
      <c r="D58" s="25" t="s">
        <v>415</v>
      </c>
    </row>
    <row r="59" spans="2:25">
      <c r="B59" s="33"/>
      <c r="C59" s="33"/>
      <c r="D59" s="33"/>
    </row>
    <row r="60" spans="2:25" ht="12.75">
      <c r="B60" s="32" t="s">
        <v>436</v>
      </c>
      <c r="C60" s="33"/>
      <c r="D60" s="33"/>
    </row>
    <row r="61" spans="2:25" ht="12.75">
      <c r="B61" s="30" t="s">
        <v>437</v>
      </c>
      <c r="C61" s="24">
        <v>30</v>
      </c>
      <c r="D61" s="25" t="s">
        <v>405</v>
      </c>
      <c r="Y61" s="3"/>
    </row>
    <row r="62" spans="2:25" ht="12.75">
      <c r="B62" s="24" t="s">
        <v>438</v>
      </c>
      <c r="C62" s="24">
        <v>500</v>
      </c>
      <c r="D62" s="25" t="s">
        <v>439</v>
      </c>
    </row>
    <row r="63" spans="2:25" ht="12.75">
      <c r="B63" s="30" t="s">
        <v>440</v>
      </c>
      <c r="C63" s="24">
        <v>300</v>
      </c>
      <c r="D63" s="25" t="s">
        <v>439</v>
      </c>
    </row>
    <row r="64" spans="2:25" ht="12.75">
      <c r="B64" s="30" t="s">
        <v>441</v>
      </c>
      <c r="C64" s="24" t="s">
        <v>442</v>
      </c>
      <c r="D64" s="25" t="s">
        <v>394</v>
      </c>
    </row>
    <row r="65" spans="2:4" ht="12.75">
      <c r="B65" s="30" t="s">
        <v>443</v>
      </c>
      <c r="C65" s="24" t="s">
        <v>444</v>
      </c>
      <c r="D65" s="25" t="s">
        <v>394</v>
      </c>
    </row>
    <row r="66" spans="2:4" ht="12.75">
      <c r="B66" s="30"/>
      <c r="C66" s="38"/>
      <c r="D66" s="25"/>
    </row>
    <row r="67" spans="2:4" ht="12.75">
      <c r="B67" s="32" t="s">
        <v>426</v>
      </c>
      <c r="C67" s="24"/>
      <c r="D67" s="24"/>
    </row>
    <row r="68" spans="2:4" ht="15" customHeight="1">
      <c r="B68" s="24" t="s">
        <v>445</v>
      </c>
      <c r="C68" s="34">
        <v>0.85</v>
      </c>
      <c r="D68" s="30" t="s">
        <v>446</v>
      </c>
    </row>
    <row r="69" spans="2:4" ht="14.1" customHeight="1">
      <c r="B69" s="30" t="s">
        <v>447</v>
      </c>
      <c r="C69" s="38">
        <v>0.7</v>
      </c>
      <c r="D69" s="25" t="s">
        <v>394</v>
      </c>
    </row>
    <row r="70" spans="2:4" ht="11.25" customHeight="1">
      <c r="B70" s="30" t="s">
        <v>448</v>
      </c>
      <c r="C70" s="24">
        <v>90</v>
      </c>
      <c r="D70" s="25" t="s">
        <v>394</v>
      </c>
    </row>
    <row r="71" spans="2:4" ht="11.25" customHeight="1">
      <c r="B71" s="30" t="s">
        <v>449</v>
      </c>
      <c r="C71" s="39">
        <v>0.88</v>
      </c>
      <c r="D71" s="25" t="s">
        <v>415</v>
      </c>
    </row>
    <row r="72" spans="2:4" ht="12" customHeight="1">
      <c r="B72" s="30" t="s">
        <v>450</v>
      </c>
      <c r="C72" s="24">
        <v>20</v>
      </c>
      <c r="D72" s="25" t="s">
        <v>451</v>
      </c>
    </row>
    <row r="73" spans="2:4" ht="12" customHeight="1">
      <c r="B73" s="30" t="s">
        <v>452</v>
      </c>
      <c r="C73" s="24">
        <v>35</v>
      </c>
      <c r="D73" s="25" t="s">
        <v>395</v>
      </c>
    </row>
    <row r="74" spans="2:4" ht="12" customHeight="1">
      <c r="B74" s="30" t="s">
        <v>453</v>
      </c>
      <c r="C74" s="24">
        <v>150</v>
      </c>
      <c r="D74" s="25" t="s">
        <v>454</v>
      </c>
    </row>
    <row r="75" spans="2:4" ht="15" customHeight="1">
      <c r="B75" s="30" t="s">
        <v>455</v>
      </c>
      <c r="C75" s="24">
        <v>1</v>
      </c>
      <c r="D75" s="25" t="s">
        <v>394</v>
      </c>
    </row>
    <row r="76" spans="2:4" ht="11.1" customHeight="1">
      <c r="B76" s="30" t="s">
        <v>456</v>
      </c>
      <c r="C76" s="38">
        <f>12/10</f>
        <v>1.2</v>
      </c>
      <c r="D76" s="30" t="s">
        <v>457</v>
      </c>
    </row>
    <row r="77" spans="2:4" ht="12.75">
      <c r="B77" s="30"/>
      <c r="C77" s="38"/>
      <c r="D77" s="30"/>
    </row>
    <row r="78" spans="2:4" ht="39.950000000000003" customHeight="1">
      <c r="B78" s="154" t="s">
        <v>160</v>
      </c>
      <c r="C78" s="154"/>
      <c r="D78" s="154"/>
    </row>
    <row r="79" spans="2:4" ht="12.75">
      <c r="B79" s="35" t="s">
        <v>426</v>
      </c>
      <c r="C79" s="36"/>
      <c r="D79" s="36"/>
    </row>
    <row r="80" spans="2:4" ht="12.75">
      <c r="B80" s="26" t="s">
        <v>159</v>
      </c>
      <c r="C80" s="40">
        <f>C15*C25</f>
        <v>2.0984855200000001</v>
      </c>
      <c r="D80" s="27" t="s">
        <v>405</v>
      </c>
    </row>
    <row r="81" spans="2:4" ht="12.75">
      <c r="B81" s="26" t="s">
        <v>458</v>
      </c>
      <c r="C81" s="26">
        <f>C11*C10</f>
        <v>1600</v>
      </c>
      <c r="D81" s="27" t="s">
        <v>459</v>
      </c>
    </row>
    <row r="82" spans="2:4" ht="12.75">
      <c r="B82" s="26" t="s">
        <v>460</v>
      </c>
      <c r="C82" s="26">
        <f>C13*C12</f>
        <v>1050</v>
      </c>
      <c r="D82" s="27" t="s">
        <v>459</v>
      </c>
    </row>
    <row r="83" spans="2:4" ht="12.75">
      <c r="B83" s="26" t="s">
        <v>767</v>
      </c>
      <c r="C83" s="26">
        <f>(0.00009*(C16)^2 + 0.0039*C16 + 0.0707)*1000*C17</f>
        <v>133521.00000000003</v>
      </c>
      <c r="D83" s="27" t="s">
        <v>398</v>
      </c>
    </row>
    <row r="84" spans="2:4" ht="12.75">
      <c r="B84" s="26" t="s">
        <v>768</v>
      </c>
      <c r="C84" s="26">
        <f>(0.00009*(C18)^2 + 0.0039*C18 + 0.0707)*1000*C19</f>
        <v>100041</v>
      </c>
      <c r="D84" s="27" t="s">
        <v>398</v>
      </c>
    </row>
    <row r="85" spans="2:4" ht="12.75">
      <c r="B85" s="26" t="s">
        <v>445</v>
      </c>
      <c r="C85" s="26">
        <f>C68*C81</f>
        <v>1360</v>
      </c>
      <c r="D85" s="27" t="s">
        <v>459</v>
      </c>
    </row>
    <row r="86" spans="2:4" ht="12.75">
      <c r="B86" s="26" t="s">
        <v>769</v>
      </c>
      <c r="C86" s="29">
        <f>C104*C21</f>
        <v>909.07926895585456</v>
      </c>
      <c r="D86" s="27" t="s">
        <v>464</v>
      </c>
    </row>
    <row r="87" spans="2:4" ht="12.75">
      <c r="B87" s="28" t="s">
        <v>465</v>
      </c>
      <c r="C87" s="29">
        <f>C85*C26/C21/C28</f>
        <v>1645.5962222222224</v>
      </c>
      <c r="D87" s="27" t="s">
        <v>466</v>
      </c>
    </row>
    <row r="88" spans="2:4" ht="12.75">
      <c r="B88" s="28" t="s">
        <v>467</v>
      </c>
      <c r="C88" s="26">
        <f>C69*C14</f>
        <v>702.8</v>
      </c>
      <c r="D88" s="27" t="s">
        <v>395</v>
      </c>
    </row>
    <row r="89" spans="2:4" ht="12.75">
      <c r="B89" s="28" t="s">
        <v>468</v>
      </c>
      <c r="C89" s="26">
        <f>(C88+C14)/2</f>
        <v>853.4</v>
      </c>
      <c r="D89" s="27" t="s">
        <v>395</v>
      </c>
    </row>
    <row r="90" spans="2:4" ht="12.75">
      <c r="B90" s="28" t="s">
        <v>469</v>
      </c>
      <c r="C90" s="29">
        <f>(C88/C$89)^0.5*C$87</f>
        <v>1493.3542381909472</v>
      </c>
      <c r="D90" s="27" t="s">
        <v>466</v>
      </c>
    </row>
    <row r="91" spans="2:4" ht="12.75">
      <c r="B91" s="28" t="s">
        <v>470</v>
      </c>
      <c r="C91" s="29">
        <f>(C14/C$89)^0.5*C$87</f>
        <v>1784.8997093565888</v>
      </c>
      <c r="D91" s="27" t="s">
        <v>466</v>
      </c>
    </row>
    <row r="92" spans="2:4" ht="12.75">
      <c r="B92" s="112" t="s">
        <v>471</v>
      </c>
      <c r="C92" s="31">
        <f>((C91/C72)*4/PI())^0.5</f>
        <v>10.659748808811367</v>
      </c>
      <c r="D92" s="27" t="s">
        <v>395</v>
      </c>
    </row>
    <row r="93" spans="2:4" ht="12.75">
      <c r="B93" s="28" t="s">
        <v>472</v>
      </c>
      <c r="C93" s="26">
        <f>IF(C92&lt;C73,1,2)</f>
        <v>1</v>
      </c>
      <c r="D93" s="27" t="s">
        <v>394</v>
      </c>
    </row>
    <row r="94" spans="2:4" ht="12.75">
      <c r="B94" s="28" t="s">
        <v>473</v>
      </c>
      <c r="C94" s="31">
        <f>((C91/C93/C72)*4/PI())^0.5</f>
        <v>10.659748808811367</v>
      </c>
      <c r="D94" s="27" t="s">
        <v>395</v>
      </c>
    </row>
    <row r="95" spans="2:4" ht="12.75">
      <c r="B95" s="28" t="s">
        <v>474</v>
      </c>
      <c r="C95" s="31">
        <f>C15/C89</f>
        <v>12.983360674947271</v>
      </c>
      <c r="D95" s="27" t="s">
        <v>394</v>
      </c>
    </row>
    <row r="96" spans="2:4" ht="12.75">
      <c r="B96" s="26" t="s">
        <v>193</v>
      </c>
      <c r="C96" s="26" t="str">
        <f>IF(C95&gt;=7,"Yes","No")</f>
        <v>Yes</v>
      </c>
      <c r="D96" s="27" t="s">
        <v>394</v>
      </c>
    </row>
    <row r="97" spans="2:4" ht="12.75">
      <c r="B97" s="28" t="s">
        <v>475</v>
      </c>
      <c r="C97" s="31">
        <f>4.73*C90^1.85/C$70^1.85/C$94^4.87*C$15</f>
        <v>93.567658650930099</v>
      </c>
      <c r="D97" s="27" t="s">
        <v>395</v>
      </c>
    </row>
    <row r="98" spans="2:4" ht="12.75">
      <c r="B98" s="28" t="s">
        <v>476</v>
      </c>
      <c r="C98" s="31">
        <f>4.73*C87^1.85/C$70^1.85/C$94^4.87*C$15</f>
        <v>111.97538942801833</v>
      </c>
      <c r="D98" s="27" t="s">
        <v>395</v>
      </c>
    </row>
    <row r="99" spans="2:4" ht="12.75">
      <c r="B99" s="28" t="s">
        <v>477</v>
      </c>
      <c r="C99" s="31">
        <f>4.73*C91^1.85/C$70^1.85/C$94^4.87*C$15</f>
        <v>130.13978209612139</v>
      </c>
      <c r="D99" s="27" t="s">
        <v>395</v>
      </c>
    </row>
    <row r="100" spans="2:4" ht="12.75">
      <c r="B100" s="28" t="s">
        <v>478</v>
      </c>
      <c r="C100" s="29">
        <f>C88-C97</f>
        <v>609.23234134906988</v>
      </c>
      <c r="D100" s="27" t="s">
        <v>395</v>
      </c>
    </row>
    <row r="101" spans="2:4" ht="12.75">
      <c r="B101" s="28" t="s">
        <v>479</v>
      </c>
      <c r="C101" s="29">
        <f>C89-C98</f>
        <v>741.4246105719817</v>
      </c>
      <c r="D101" s="27" t="s">
        <v>395</v>
      </c>
    </row>
    <row r="102" spans="2:4" ht="12.75">
      <c r="B102" s="28" t="s">
        <v>480</v>
      </c>
      <c r="C102" s="29">
        <f>C$14-C99</f>
        <v>873.86021790387861</v>
      </c>
      <c r="D102" s="27" t="s">
        <v>395</v>
      </c>
    </row>
    <row r="103" spans="2:4" ht="12.75">
      <c r="B103" s="28" t="s">
        <v>481</v>
      </c>
      <c r="C103" s="31">
        <f>C90*C100*C$71*$C$30*$C$31/$C$29*(1/C24)^4</f>
        <v>67.788693444138403</v>
      </c>
      <c r="D103" s="27" t="s">
        <v>454</v>
      </c>
    </row>
    <row r="104" spans="2:4" ht="12.75">
      <c r="B104" s="28" t="s">
        <v>482</v>
      </c>
      <c r="C104" s="31">
        <f>C87*C101*C$71*$C$30*$C$31/$C$29*(1/C24)^4</f>
        <v>90.907926895585462</v>
      </c>
      <c r="D104" s="27" t="s">
        <v>454</v>
      </c>
    </row>
    <row r="105" spans="2:4" ht="12.75">
      <c r="B105" s="28" t="s">
        <v>483</v>
      </c>
      <c r="C105" s="31">
        <f>C91*C102*C$71*$C$30*$C$31/$C$29*(1/C24)^4</f>
        <v>116.21635821932541</v>
      </c>
      <c r="D105" s="27" t="s">
        <v>454</v>
      </c>
    </row>
    <row r="106" spans="2:4" ht="12.75">
      <c r="B106" s="28" t="s">
        <v>484</v>
      </c>
      <c r="C106" s="29">
        <f>IF(C105/C74&lt;=C75,C75,ROUNDUP(C105/C74,0))</f>
        <v>1</v>
      </c>
      <c r="D106" s="27" t="s">
        <v>394</v>
      </c>
    </row>
    <row r="107" spans="2:4" ht="12.75">
      <c r="B107" s="28" t="s">
        <v>485</v>
      </c>
      <c r="C107" s="31">
        <f>C105/C106</f>
        <v>116.21635821932541</v>
      </c>
      <c r="D107" s="27" t="s">
        <v>454</v>
      </c>
    </row>
    <row r="108" spans="2:4" ht="11.1" customHeight="1">
      <c r="B108" s="28" t="s">
        <v>486</v>
      </c>
      <c r="C108" s="29">
        <f>'Cost Curves S-PSH'!V130</f>
        <v>23.941600000000001</v>
      </c>
      <c r="D108" s="27" t="s">
        <v>451</v>
      </c>
    </row>
    <row r="109" spans="2:4" ht="11.1" customHeight="1">
      <c r="B109" s="28" t="s">
        <v>770</v>
      </c>
      <c r="C109" s="29">
        <f>'Cost Curves S-PSH'!AA130</f>
        <v>8.9015199999999997</v>
      </c>
      <c r="D109" s="27" t="s">
        <v>451</v>
      </c>
    </row>
    <row r="110" spans="2:4" ht="12.75">
      <c r="B110" s="28" t="s">
        <v>488</v>
      </c>
      <c r="C110" s="29">
        <f>((C91/(C108*C106))*4/PI())^0.5</f>
        <v>9.7428358032738114</v>
      </c>
      <c r="D110" s="27" t="s">
        <v>395</v>
      </c>
    </row>
    <row r="111" spans="2:4" ht="12.75">
      <c r="B111" s="112" t="s">
        <v>489</v>
      </c>
      <c r="C111" s="115">
        <f>((C91/(C109*C106))*4/PI())^0.5</f>
        <v>15.978274679192999</v>
      </c>
      <c r="D111" s="116" t="s">
        <v>395</v>
      </c>
    </row>
    <row r="112" spans="2:4" ht="12.75">
      <c r="B112" s="28" t="s">
        <v>456</v>
      </c>
      <c r="C112" s="31">
        <f>C76*C21</f>
        <v>12</v>
      </c>
      <c r="D112" s="27" t="s">
        <v>490</v>
      </c>
    </row>
    <row r="113" spans="2:4" ht="12.75">
      <c r="B113" s="28" t="s">
        <v>491</v>
      </c>
      <c r="C113" s="29">
        <f>C85*C26/C112/3600</f>
        <v>1371.3301851851852</v>
      </c>
      <c r="D113" s="27" t="s">
        <v>466</v>
      </c>
    </row>
    <row r="114" spans="2:4" ht="12.75">
      <c r="B114" s="28" t="s">
        <v>492</v>
      </c>
      <c r="C114" s="31">
        <f>4.73*C113^1.85/C70^1.85/C94^4.87*C15</f>
        <v>79.916651061759126</v>
      </c>
      <c r="D114" s="27" t="s">
        <v>395</v>
      </c>
    </row>
    <row r="115" spans="2:4" ht="12.75">
      <c r="B115" s="28" t="s">
        <v>493</v>
      </c>
      <c r="C115" s="29">
        <f>C89+C114</f>
        <v>933.3166510617591</v>
      </c>
      <c r="D115" s="27" t="s">
        <v>395</v>
      </c>
    </row>
    <row r="116" spans="2:4" ht="12.75">
      <c r="B116" s="28" t="s">
        <v>494</v>
      </c>
      <c r="C116" s="29">
        <f>C113*C115*C71*$C$30*$C$31/$C$29*(1/C24)^4</f>
        <v>95.363575153536246</v>
      </c>
      <c r="D116" s="27" t="s">
        <v>454</v>
      </c>
    </row>
    <row r="117" spans="2:4" ht="12.75">
      <c r="B117" s="28" t="s">
        <v>495</v>
      </c>
      <c r="C117" s="42">
        <f>VLOOKUP(C64,'Cost Curves S-PSH'!H276:I284,2,FALSE)</f>
        <v>1.75</v>
      </c>
      <c r="D117" s="27" t="s">
        <v>394</v>
      </c>
    </row>
    <row r="118" spans="2:4" ht="12.75">
      <c r="B118" s="28" t="s">
        <v>496</v>
      </c>
      <c r="C118" s="42">
        <f>IF(C65="Double",'Cost Curves S-PSH'!I287,1)</f>
        <v>1.6004696290247125</v>
      </c>
      <c r="D118" s="27" t="s">
        <v>394</v>
      </c>
    </row>
  </sheetData>
  <mergeCells count="2">
    <mergeCell ref="B6:D7"/>
    <mergeCell ref="B78:D78"/>
  </mergeCells>
  <conditionalFormatting sqref="R8:R51">
    <cfRule type="colorScale" priority="16">
      <colorScale>
        <cfvo type="min"/>
        <cfvo type="percentile" val="50"/>
        <cfvo type="max"/>
        <color rgb="FF63BE7B"/>
        <color rgb="FFFFEB84"/>
        <color rgb="FFF8696B"/>
      </colorScale>
    </cfRule>
  </conditionalFormatting>
  <conditionalFormatting sqref="S47:S50 S8:S45">
    <cfRule type="colorScale" priority="22">
      <colorScale>
        <cfvo type="min"/>
        <cfvo type="percentile" val="50"/>
        <cfvo type="max"/>
        <color rgb="FF63BE7B"/>
        <color rgb="FFFFEB84"/>
        <color rgb="FFF8696B"/>
      </colorScale>
    </cfRule>
  </conditionalFormatting>
  <dataValidations count="10">
    <dataValidation type="list" allowBlank="1" showInputMessage="1" showErrorMessage="1" sqref="G8 G10 G13:G17 G20:G25 G28:G30 G33:G35 G37 G39 G42:G43 G45:G50" xr:uid="{65152595-F427-3948-A1F8-D75BFE0F6F7E}">
      <formula1>"Yes,No"</formula1>
    </dataValidation>
    <dataValidation type="list" allowBlank="1" showInputMessage="1" showErrorMessage="1" sqref="C49" xr:uid="{F372EBA8-AB94-FC4E-95EB-DBD2B16EDABD}">
      <formula1>"Standby, No Standby"</formula1>
    </dataValidation>
    <dataValidation type="list" allowBlank="1" showInputMessage="1" showErrorMessage="1" sqref="C47:C48" xr:uid="{DC1562C5-8C58-4742-B211-87D2580E6C2F}">
      <formula1>"Underground, Surface"</formula1>
    </dataValidation>
    <dataValidation type="list" allowBlank="1" showInputMessage="1" showErrorMessage="1" sqref="C46" xr:uid="{A3DA6FFC-613B-9145-8202-1A364755A945}">
      <formula1>"Average, Adverse"</formula1>
    </dataValidation>
    <dataValidation type="list" allowBlank="1" showInputMessage="1" showErrorMessage="1" sqref="C44:C45" xr:uid="{D76BA5D7-9E60-774B-9748-37167B1B79CC}">
      <formula1>"Horizontal, Vertical"</formula1>
    </dataValidation>
    <dataValidation type="list" allowBlank="1" showInputMessage="1" showErrorMessage="1" sqref="C34" xr:uid="{1C775DCC-F728-BF42-9A27-E2BF2E59AD79}">
      <formula1>"Average,Poor"</formula1>
    </dataValidation>
    <dataValidation type="list" allowBlank="1" showInputMessage="1" showErrorMessage="1" sqref="C35" xr:uid="{2A1F713E-AF37-A44E-BDF7-C673DC9A3203}">
      <formula1>"Steep, Mild, Flat"</formula1>
    </dataValidation>
    <dataValidation type="list" allowBlank="1" showInputMessage="1" showErrorMessage="1" sqref="C36" xr:uid="{24E73D3D-D8E4-EB45-9CD7-1CC235187B1B}">
      <formula1>"New, Rebuild"</formula1>
    </dataValidation>
    <dataValidation type="list" allowBlank="1" showInputMessage="1" showErrorMessage="1" sqref="C65" xr:uid="{59DC0AFD-42A5-3546-9C56-415A49742324}">
      <formula1>"Single, Double"</formula1>
    </dataValidation>
    <dataValidation type="list" allowBlank="1" showInputMessage="1" showErrorMessage="1" sqref="C51 C37 C40 C42" xr:uid="{5CC221C9-6DF1-BF4D-B07D-CB27981F7A70}">
      <formula1>"Yes, No"</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83087A3B-CBF7-6840-A99C-674A1A8A7FF4}">
          <x14:formula1>
            <xm:f>'Cost Curves L-PSH'!$H$276:$H$284</xm:f>
          </x14:formula1>
          <xm:sqref>C64</xm:sqref>
        </x14:dataValidation>
        <x14:dataValidation type="list" allowBlank="1" showInputMessage="1" showErrorMessage="1" xr:uid="{F1842D53-2C31-BA4C-8DCA-452C9A923D4E}">
          <x14:formula1>
            <xm:f>'Locational Adj Factors'!$A$3:$A$55</xm:f>
          </x14:formula1>
          <xm:sqref>C9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5B5923-0417-B64E-93EF-75EC4FE0A424}">
  <sheetPr codeName="Sheet10">
    <tabColor theme="8"/>
  </sheetPr>
  <dimension ref="A1:AM395"/>
  <sheetViews>
    <sheetView zoomScaleNormal="100" workbookViewId="0"/>
  </sheetViews>
  <sheetFormatPr defaultColWidth="10.6640625" defaultRowHeight="15.75"/>
  <cols>
    <col min="1" max="1" width="12.5" style="4" customWidth="1"/>
    <col min="2" max="2" width="10.6640625" style="4" customWidth="1"/>
    <col min="3" max="3" width="10.6640625" style="4"/>
    <col min="4" max="4" width="21.1640625" style="4" bestFit="1" customWidth="1"/>
    <col min="5" max="5" width="15" style="4" bestFit="1" customWidth="1"/>
    <col min="6" max="7" width="18.5" style="4" bestFit="1" customWidth="1"/>
    <col min="8" max="8" width="19.5" style="4" bestFit="1" customWidth="1"/>
    <col min="9" max="9" width="17" style="4" customWidth="1"/>
    <col min="10" max="10" width="22.1640625" style="4" customWidth="1"/>
    <col min="11" max="12" width="10.6640625" style="4"/>
    <col min="13" max="13" width="25" style="4" bestFit="1" customWidth="1"/>
    <col min="14" max="14" width="10.6640625" style="4"/>
    <col min="15" max="15" width="14.1640625" style="4" customWidth="1"/>
    <col min="16" max="16" width="10.6640625" style="4"/>
    <col min="17" max="18" width="21.6640625" style="4" bestFit="1" customWidth="1"/>
    <col min="19" max="22" width="10.6640625" style="4"/>
    <col min="23" max="23" width="15.1640625" style="4" bestFit="1" customWidth="1"/>
    <col min="24" max="24" width="14.1640625" style="4" customWidth="1"/>
    <col min="25" max="16384" width="10.6640625" style="4"/>
  </cols>
  <sheetData>
    <row r="1" spans="1:39">
      <c r="B1" s="155" t="s">
        <v>497</v>
      </c>
      <c r="C1" s="155"/>
      <c r="D1" s="155"/>
      <c r="E1" s="155"/>
      <c r="F1" s="155"/>
      <c r="G1" s="155"/>
      <c r="H1" s="155"/>
      <c r="L1" s="155" t="s">
        <v>498</v>
      </c>
      <c r="M1" s="155"/>
      <c r="N1" s="155"/>
      <c r="O1" s="155"/>
      <c r="P1" s="155"/>
      <c r="Q1" s="155"/>
      <c r="R1" s="155"/>
      <c r="V1" s="155" t="s">
        <v>499</v>
      </c>
      <c r="W1" s="155"/>
      <c r="X1" s="155"/>
      <c r="Y1" s="155"/>
      <c r="Z1" s="155"/>
      <c r="AA1" s="155"/>
      <c r="AB1" s="155"/>
      <c r="AF1" s="155" t="s">
        <v>500</v>
      </c>
      <c r="AG1" s="155"/>
      <c r="AH1" s="155"/>
      <c r="AI1" s="155"/>
      <c r="AJ1" s="155"/>
      <c r="AK1" s="155"/>
      <c r="AL1" s="155"/>
    </row>
    <row r="2" spans="1:39">
      <c r="B2" s="156" t="s">
        <v>501</v>
      </c>
      <c r="C2" s="156"/>
      <c r="D2" s="156"/>
      <c r="E2" s="156"/>
      <c r="F2" s="156" t="s">
        <v>502</v>
      </c>
      <c r="G2" s="156"/>
      <c r="H2" s="156"/>
      <c r="I2" s="156"/>
      <c r="L2" s="156" t="s">
        <v>501</v>
      </c>
      <c r="M2" s="156"/>
      <c r="N2" s="156"/>
      <c r="O2" s="156"/>
      <c r="P2" s="156" t="s">
        <v>502</v>
      </c>
      <c r="Q2" s="156"/>
      <c r="R2" s="156"/>
      <c r="S2" s="156"/>
      <c r="V2" s="156" t="s">
        <v>501</v>
      </c>
      <c r="W2" s="156"/>
      <c r="X2" s="156"/>
      <c r="Y2" s="156"/>
      <c r="Z2" s="156" t="s">
        <v>502</v>
      </c>
      <c r="AA2" s="156"/>
      <c r="AB2" s="156"/>
      <c r="AC2" s="156"/>
      <c r="AF2" s="156" t="s">
        <v>501</v>
      </c>
      <c r="AG2" s="156"/>
      <c r="AH2" s="156"/>
      <c r="AI2" s="156"/>
      <c r="AJ2" s="156" t="s">
        <v>502</v>
      </c>
      <c r="AK2" s="156"/>
      <c r="AL2" s="156"/>
      <c r="AM2" s="156"/>
    </row>
    <row r="3" spans="1:39">
      <c r="A3" s="4" t="s">
        <v>503</v>
      </c>
      <c r="B3" s="4" t="s">
        <v>658</v>
      </c>
      <c r="C3" s="4" t="s">
        <v>659</v>
      </c>
      <c r="D3" s="4" t="s">
        <v>660</v>
      </c>
      <c r="E3" s="4" t="s">
        <v>661</v>
      </c>
      <c r="F3" s="4" t="s">
        <v>658</v>
      </c>
      <c r="G3" s="4" t="s">
        <v>659</v>
      </c>
      <c r="H3" s="4" t="s">
        <v>660</v>
      </c>
      <c r="I3" s="4" t="s">
        <v>661</v>
      </c>
      <c r="K3" s="4" t="s">
        <v>503</v>
      </c>
      <c r="L3" s="4" t="s">
        <v>670</v>
      </c>
      <c r="M3" s="4" t="s">
        <v>671</v>
      </c>
      <c r="N3" s="4" t="s">
        <v>672</v>
      </c>
      <c r="O3" s="4" t="s">
        <v>673</v>
      </c>
      <c r="P3" s="4" t="s">
        <v>670</v>
      </c>
      <c r="Q3" s="4" t="s">
        <v>671</v>
      </c>
      <c r="R3" s="4" t="s">
        <v>672</v>
      </c>
      <c r="S3" s="4" t="s">
        <v>673</v>
      </c>
      <c r="U3" s="4" t="s">
        <v>503</v>
      </c>
      <c r="V3" s="4" t="s">
        <v>658</v>
      </c>
      <c r="W3" s="4" t="s">
        <v>659</v>
      </c>
      <c r="X3" s="4" t="s">
        <v>660</v>
      </c>
      <c r="Y3" s="4" t="s">
        <v>661</v>
      </c>
      <c r="Z3" s="4" t="s">
        <v>658</v>
      </c>
      <c r="AA3" s="4" t="s">
        <v>659</v>
      </c>
      <c r="AB3" s="4" t="s">
        <v>660</v>
      </c>
      <c r="AC3" s="4" t="s">
        <v>661</v>
      </c>
      <c r="AE3" s="4" t="s">
        <v>503</v>
      </c>
      <c r="AF3" s="4" t="s">
        <v>670</v>
      </c>
      <c r="AG3" s="4" t="s">
        <v>671</v>
      </c>
      <c r="AH3" s="4" t="s">
        <v>672</v>
      </c>
      <c r="AI3" s="4" t="s">
        <v>673</v>
      </c>
      <c r="AJ3" s="4" t="s">
        <v>670</v>
      </c>
      <c r="AK3" s="4" t="s">
        <v>671</v>
      </c>
      <c r="AL3" s="4" t="s">
        <v>672</v>
      </c>
      <c r="AM3" s="4" t="s">
        <v>673</v>
      </c>
    </row>
    <row r="4" spans="1:39">
      <c r="A4" s="4">
        <v>350</v>
      </c>
      <c r="B4" s="4">
        <v>135</v>
      </c>
      <c r="C4" s="4">
        <v>116</v>
      </c>
      <c r="D4" s="4">
        <v>104</v>
      </c>
      <c r="E4" s="4">
        <v>92</v>
      </c>
      <c r="F4" s="4">
        <v>174</v>
      </c>
      <c r="G4" s="4">
        <v>145</v>
      </c>
      <c r="H4" s="4">
        <v>132</v>
      </c>
      <c r="I4" s="4">
        <v>118</v>
      </c>
      <c r="K4" s="4">
        <v>500</v>
      </c>
      <c r="L4" s="4">
        <v>78</v>
      </c>
      <c r="M4" s="4">
        <v>70</v>
      </c>
      <c r="N4" s="4">
        <v>62</v>
      </c>
      <c r="O4" s="4">
        <v>58</v>
      </c>
      <c r="P4" s="4">
        <v>98</v>
      </c>
      <c r="Q4" s="4">
        <v>84</v>
      </c>
      <c r="R4" s="4">
        <v>78</v>
      </c>
      <c r="S4" s="4">
        <v>70</v>
      </c>
      <c r="U4" s="4">
        <v>350</v>
      </c>
      <c r="V4" s="4">
        <v>84</v>
      </c>
      <c r="W4" s="4">
        <v>77</v>
      </c>
      <c r="X4" s="4">
        <v>72.5</v>
      </c>
      <c r="Y4" s="4">
        <v>67</v>
      </c>
      <c r="Z4" s="4">
        <v>112</v>
      </c>
      <c r="AA4" s="4">
        <v>95</v>
      </c>
      <c r="AB4" s="4">
        <v>87</v>
      </c>
      <c r="AC4" s="4">
        <v>78</v>
      </c>
      <c r="AE4" s="4">
        <v>350</v>
      </c>
      <c r="AF4" s="4">
        <v>38</v>
      </c>
      <c r="AG4" s="4">
        <v>35</v>
      </c>
      <c r="AH4" s="4">
        <v>32</v>
      </c>
      <c r="AI4" s="4">
        <v>30</v>
      </c>
      <c r="AJ4" s="4">
        <v>58</v>
      </c>
      <c r="AK4" s="4">
        <v>48.5</v>
      </c>
      <c r="AL4" s="4">
        <v>45</v>
      </c>
      <c r="AM4" s="4">
        <v>39</v>
      </c>
    </row>
    <row r="5" spans="1:39">
      <c r="A5" s="4">
        <v>500</v>
      </c>
      <c r="B5" s="4">
        <v>113</v>
      </c>
      <c r="C5" s="4">
        <v>96</v>
      </c>
      <c r="D5" s="4">
        <v>86</v>
      </c>
      <c r="E5" s="4">
        <v>78</v>
      </c>
      <c r="F5" s="4">
        <v>150</v>
      </c>
      <c r="G5" s="4">
        <v>124</v>
      </c>
      <c r="H5" s="4">
        <v>113.5</v>
      </c>
      <c r="I5" s="4">
        <v>102</v>
      </c>
      <c r="K5" s="4">
        <v>1000</v>
      </c>
      <c r="L5" s="4">
        <v>48</v>
      </c>
      <c r="M5" s="4">
        <v>42</v>
      </c>
      <c r="N5" s="4">
        <v>37</v>
      </c>
      <c r="O5" s="4">
        <v>33</v>
      </c>
      <c r="P5" s="4">
        <v>62</v>
      </c>
      <c r="Q5" s="4">
        <v>52</v>
      </c>
      <c r="R5" s="4">
        <v>46</v>
      </c>
      <c r="S5" s="4">
        <v>42.25</v>
      </c>
      <c r="U5" s="4">
        <v>500</v>
      </c>
      <c r="V5" s="4">
        <v>84</v>
      </c>
      <c r="W5" s="4">
        <v>77.25</v>
      </c>
      <c r="X5" s="4">
        <v>74</v>
      </c>
      <c r="Y5" s="4">
        <v>68</v>
      </c>
      <c r="Z5" s="4">
        <v>113.5</v>
      </c>
      <c r="AA5" s="4">
        <v>96</v>
      </c>
      <c r="AB5" s="4">
        <v>89</v>
      </c>
      <c r="AC5" s="4">
        <v>79.5</v>
      </c>
      <c r="AE5" s="4">
        <v>500</v>
      </c>
      <c r="AF5" s="4">
        <v>36</v>
      </c>
      <c r="AG5" s="4">
        <v>34</v>
      </c>
      <c r="AH5" s="4">
        <v>30</v>
      </c>
      <c r="AI5" s="4">
        <v>28</v>
      </c>
      <c r="AJ5" s="4">
        <v>54</v>
      </c>
      <c r="AK5" s="4">
        <v>45</v>
      </c>
      <c r="AL5" s="4">
        <v>42</v>
      </c>
      <c r="AM5" s="4">
        <v>37</v>
      </c>
    </row>
    <row r="6" spans="1:39">
      <c r="A6" s="4">
        <v>1000</v>
      </c>
      <c r="B6" s="4">
        <v>91</v>
      </c>
      <c r="C6" s="4">
        <v>76</v>
      </c>
      <c r="D6" s="4">
        <v>68</v>
      </c>
      <c r="E6" s="4">
        <v>60</v>
      </c>
      <c r="F6" s="4">
        <v>116</v>
      </c>
      <c r="G6" s="4">
        <v>98</v>
      </c>
      <c r="H6" s="4">
        <v>86</v>
      </c>
      <c r="I6" s="4">
        <v>76.5</v>
      </c>
      <c r="K6" s="4">
        <v>1500</v>
      </c>
      <c r="L6" s="4">
        <v>40.5</v>
      </c>
      <c r="M6" s="4">
        <v>34</v>
      </c>
      <c r="N6" s="4">
        <v>30</v>
      </c>
      <c r="O6" s="4">
        <v>26</v>
      </c>
      <c r="P6" s="4">
        <v>53</v>
      </c>
      <c r="Q6" s="4">
        <v>43</v>
      </c>
      <c r="R6" s="4">
        <v>39</v>
      </c>
      <c r="S6" s="4">
        <v>34.5</v>
      </c>
      <c r="U6" s="4">
        <v>1000</v>
      </c>
      <c r="V6" s="4">
        <v>87</v>
      </c>
      <c r="W6" s="4">
        <v>80</v>
      </c>
      <c r="X6" s="4">
        <v>76</v>
      </c>
      <c r="Y6" s="4">
        <v>74</v>
      </c>
      <c r="Z6" s="4">
        <v>118</v>
      </c>
      <c r="AA6" s="4">
        <v>102</v>
      </c>
      <c r="AB6" s="4">
        <v>93</v>
      </c>
      <c r="AC6" s="4">
        <v>85</v>
      </c>
      <c r="AE6" s="4">
        <v>1000</v>
      </c>
      <c r="AF6" s="4">
        <v>31</v>
      </c>
      <c r="AG6" s="4">
        <v>28</v>
      </c>
      <c r="AH6" s="4">
        <v>26</v>
      </c>
      <c r="AI6" s="4">
        <v>25</v>
      </c>
      <c r="AJ6" s="4">
        <v>45</v>
      </c>
      <c r="AK6" s="4">
        <v>40</v>
      </c>
      <c r="AL6" s="4">
        <v>37</v>
      </c>
      <c r="AM6" s="4">
        <v>34</v>
      </c>
    </row>
    <row r="7" spans="1:39">
      <c r="A7" s="4">
        <v>1500</v>
      </c>
      <c r="B7" s="4">
        <v>81</v>
      </c>
      <c r="C7" s="4">
        <v>69</v>
      </c>
      <c r="D7" s="4">
        <v>59.5</v>
      </c>
      <c r="E7" s="4">
        <v>54</v>
      </c>
      <c r="F7" s="4">
        <v>103</v>
      </c>
      <c r="G7" s="4">
        <v>88</v>
      </c>
      <c r="H7" s="4">
        <v>77</v>
      </c>
      <c r="I7" s="4">
        <v>68.5</v>
      </c>
      <c r="K7" s="4">
        <v>2000</v>
      </c>
      <c r="L7" s="4">
        <v>36</v>
      </c>
      <c r="M7" s="4">
        <v>31</v>
      </c>
      <c r="N7" s="4">
        <v>26</v>
      </c>
      <c r="O7" s="4">
        <v>24</v>
      </c>
      <c r="P7" s="4">
        <v>45</v>
      </c>
      <c r="Q7" s="4">
        <v>39</v>
      </c>
      <c r="R7" s="4">
        <v>34.5</v>
      </c>
      <c r="S7" s="4">
        <v>26</v>
      </c>
      <c r="U7" s="4">
        <v>1500</v>
      </c>
      <c r="V7" s="4">
        <v>92.5</v>
      </c>
      <c r="W7" s="4">
        <v>86</v>
      </c>
      <c r="X7" s="4">
        <v>84</v>
      </c>
      <c r="Y7" s="4">
        <v>80</v>
      </c>
      <c r="Z7" s="4">
        <v>125</v>
      </c>
      <c r="AA7" s="4">
        <v>108</v>
      </c>
      <c r="AB7" s="4">
        <v>100</v>
      </c>
      <c r="AC7" s="4">
        <v>91.5</v>
      </c>
      <c r="AE7" s="4">
        <v>1500</v>
      </c>
      <c r="AF7" s="4">
        <v>30</v>
      </c>
      <c r="AG7" s="4">
        <v>27</v>
      </c>
      <c r="AH7" s="4">
        <v>26</v>
      </c>
      <c r="AI7" s="4">
        <v>25.25</v>
      </c>
      <c r="AJ7" s="4">
        <v>44.5</v>
      </c>
      <c r="AK7" s="4">
        <v>39</v>
      </c>
      <c r="AL7" s="4">
        <v>36</v>
      </c>
      <c r="AM7" s="4">
        <v>32</v>
      </c>
    </row>
    <row r="8" spans="1:39">
      <c r="A8" s="4">
        <v>2000</v>
      </c>
      <c r="B8" s="4">
        <v>78</v>
      </c>
      <c r="C8" s="4">
        <v>63</v>
      </c>
      <c r="D8" s="4">
        <v>58</v>
      </c>
      <c r="E8" s="4">
        <v>50</v>
      </c>
      <c r="F8" s="4">
        <v>98</v>
      </c>
      <c r="G8" s="4">
        <v>82</v>
      </c>
      <c r="H8" s="4">
        <v>72</v>
      </c>
      <c r="I8" s="4">
        <v>62.5</v>
      </c>
      <c r="K8" s="4">
        <v>2250</v>
      </c>
      <c r="L8" s="4">
        <v>35</v>
      </c>
      <c r="M8" s="4">
        <v>30</v>
      </c>
      <c r="N8" s="4">
        <v>25</v>
      </c>
      <c r="O8" s="4">
        <v>23</v>
      </c>
      <c r="P8" s="4">
        <v>44</v>
      </c>
      <c r="Q8" s="4">
        <v>38</v>
      </c>
      <c r="R8" s="4">
        <v>33.5</v>
      </c>
      <c r="S8" s="4">
        <v>25</v>
      </c>
      <c r="U8" s="4">
        <v>2000</v>
      </c>
      <c r="V8" s="4">
        <v>102</v>
      </c>
      <c r="W8" s="4">
        <v>95</v>
      </c>
      <c r="X8" s="4">
        <v>92</v>
      </c>
      <c r="Y8" s="4">
        <v>87</v>
      </c>
      <c r="Z8" s="4">
        <v>134</v>
      </c>
      <c r="AA8" s="4">
        <v>116</v>
      </c>
      <c r="AB8" s="4">
        <v>106</v>
      </c>
      <c r="AC8" s="4">
        <v>98</v>
      </c>
      <c r="AE8" s="4">
        <v>2000</v>
      </c>
      <c r="AF8" s="4">
        <v>32</v>
      </c>
      <c r="AG8" s="4">
        <v>30</v>
      </c>
      <c r="AH8" s="4">
        <v>29</v>
      </c>
      <c r="AI8" s="4">
        <v>26</v>
      </c>
      <c r="AJ8" s="4">
        <v>46</v>
      </c>
      <c r="AK8" s="4">
        <v>41</v>
      </c>
      <c r="AL8" s="4">
        <v>38</v>
      </c>
      <c r="AM8" s="4">
        <v>34</v>
      </c>
    </row>
    <row r="9" spans="1:39">
      <c r="A9" s="4">
        <v>2250</v>
      </c>
      <c r="B9" s="4">
        <v>77</v>
      </c>
      <c r="C9" s="4">
        <v>62</v>
      </c>
      <c r="D9" s="4">
        <v>57</v>
      </c>
      <c r="E9" s="4">
        <v>49</v>
      </c>
      <c r="F9" s="4">
        <v>97</v>
      </c>
      <c r="G9" s="4">
        <v>81</v>
      </c>
      <c r="H9" s="4">
        <v>71</v>
      </c>
      <c r="I9" s="4">
        <v>62</v>
      </c>
      <c r="U9" s="4">
        <v>2250</v>
      </c>
      <c r="V9" s="4">
        <v>105.5</v>
      </c>
      <c r="W9" s="4">
        <v>98</v>
      </c>
      <c r="X9" s="4">
        <v>95</v>
      </c>
      <c r="Y9" s="4">
        <v>90</v>
      </c>
      <c r="Z9" s="4">
        <v>137</v>
      </c>
      <c r="AA9" s="4">
        <v>119</v>
      </c>
      <c r="AB9" s="4">
        <v>109.5</v>
      </c>
      <c r="AC9" s="4">
        <v>100</v>
      </c>
      <c r="AE9" s="4">
        <v>2250</v>
      </c>
      <c r="AF9" s="4">
        <v>33</v>
      </c>
      <c r="AG9" s="4">
        <v>31</v>
      </c>
      <c r="AH9" s="4">
        <v>30</v>
      </c>
      <c r="AI9" s="4">
        <v>28</v>
      </c>
      <c r="AJ9" s="4">
        <v>48</v>
      </c>
      <c r="AK9" s="4">
        <v>42</v>
      </c>
      <c r="AL9" s="4">
        <v>39.5</v>
      </c>
      <c r="AM9" s="4">
        <v>35</v>
      </c>
    </row>
    <row r="10" spans="1:39">
      <c r="A10" s="6"/>
      <c r="B10" s="8" t="s">
        <v>508</v>
      </c>
      <c r="C10" s="8" t="s">
        <v>509</v>
      </c>
      <c r="D10" s="8" t="s">
        <v>510</v>
      </c>
      <c r="E10" s="8" t="s">
        <v>511</v>
      </c>
      <c r="F10" s="8" t="s">
        <v>512</v>
      </c>
      <c r="G10" s="8" t="s">
        <v>513</v>
      </c>
      <c r="H10" s="8" t="s">
        <v>514</v>
      </c>
      <c r="I10" s="8" t="s">
        <v>515</v>
      </c>
      <c r="L10" s="7" t="s">
        <v>516</v>
      </c>
      <c r="M10" s="7" t="s">
        <v>517</v>
      </c>
      <c r="N10" s="7" t="s">
        <v>518</v>
      </c>
      <c r="O10" s="7" t="s">
        <v>519</v>
      </c>
      <c r="P10" s="7" t="s">
        <v>520</v>
      </c>
      <c r="Q10" s="7" t="s">
        <v>521</v>
      </c>
      <c r="R10" s="7" t="s">
        <v>522</v>
      </c>
      <c r="S10" s="7" t="s">
        <v>523</v>
      </c>
      <c r="V10" s="7" t="s">
        <v>524</v>
      </c>
      <c r="W10" s="7" t="s">
        <v>525</v>
      </c>
      <c r="X10" s="7" t="s">
        <v>526</v>
      </c>
      <c r="Y10" s="7" t="s">
        <v>527</v>
      </c>
      <c r="Z10" s="7" t="s">
        <v>528</v>
      </c>
      <c r="AA10" s="7" t="s">
        <v>529</v>
      </c>
      <c r="AB10" s="7" t="s">
        <v>530</v>
      </c>
      <c r="AC10" s="7" t="s">
        <v>531</v>
      </c>
      <c r="AF10" s="7" t="s">
        <v>532</v>
      </c>
      <c r="AG10" s="7" t="s">
        <v>533</v>
      </c>
      <c r="AH10" s="7" t="s">
        <v>534</v>
      </c>
      <c r="AI10" s="7" t="s">
        <v>535</v>
      </c>
      <c r="AJ10" s="7" t="s">
        <v>536</v>
      </c>
      <c r="AK10" s="7" t="s">
        <v>537</v>
      </c>
      <c r="AL10" s="7" t="s">
        <v>538</v>
      </c>
      <c r="AM10" s="7" t="s">
        <v>539</v>
      </c>
    </row>
    <row r="11" spans="1:39">
      <c r="A11" s="4" t="s">
        <v>540</v>
      </c>
      <c r="B11" s="4">
        <f>740.12*('Cost Model S-PSH'!C14)^-0.298</f>
        <v>94.359470188869025</v>
      </c>
      <c r="C11" s="4">
        <f>760.42*('Cost Model S-PSH'!C14)^-0.328</f>
        <v>78.792498665491522</v>
      </c>
      <c r="D11" s="4">
        <f>645.72*('Cost Model S-PSH'!C14)^-0.32</f>
        <v>70.711402305820741</v>
      </c>
      <c r="E11" s="4">
        <f>640.28*('Cost Model S-PSH'!C14)^-0.337</f>
        <v>62.342709738961524</v>
      </c>
      <c r="F11" s="4">
        <f>1096.7*('Cost Model S-PSH'!C14)^-0.319</f>
        <v>120.93020499934266</v>
      </c>
      <c r="G11" s="4">
        <f>878.1*('Cost Model S-PSH'!C14)^-0.313</f>
        <v>100.92559653392965</v>
      </c>
      <c r="H11" s="4">
        <f>926.99*('Cost Model S-PSH'!C14)^-0.337</f>
        <v>90.259056195601843</v>
      </c>
      <c r="I11" s="4">
        <f>911.22*('Cost Model S-PSH'!C14)^-0.352</f>
        <v>79.985815386290085</v>
      </c>
      <c r="K11" s="4" t="s">
        <v>540</v>
      </c>
      <c r="L11" s="4">
        <f>2032.8*('Cost Model S-PSH'!C14)^-0.532</f>
        <v>51.424765128833073</v>
      </c>
      <c r="M11" s="4">
        <f>2231.2*('Cost Model S-PSH'!C14)^-0.565</f>
        <v>44.932331414790816</v>
      </c>
      <c r="N11" s="4">
        <f>2553*('Cost Model S-PSH'!C14)^-0.604</f>
        <v>39.264823742269968</v>
      </c>
      <c r="O11" s="4">
        <f>2504.2*('Cost Model S-PSH'!C14)^-0.615</f>
        <v>35.694621229001982</v>
      </c>
      <c r="P11" s="4">
        <f>2613*('Cost Model S-PSH'!C14)^-0.533</f>
        <v>65.647069038306427</v>
      </c>
      <c r="Q11" s="4">
        <f>2154.7*('Cost Model S-PSH'!C14)^-0.53</f>
        <v>55.267261258714463</v>
      </c>
      <c r="R11" s="4">
        <f>2380.6*('Cost Model S-PSH'!C14)^-0.559</f>
        <v>49.970912937102305</v>
      </c>
      <c r="S11" s="4">
        <f>4996.8*('Cost Model S-PSH'!C14)^-0.687</f>
        <v>43.301297124943844</v>
      </c>
      <c r="U11" s="4" t="s">
        <v>540</v>
      </c>
      <c r="V11" s="4">
        <f>0.000005*('Cost Model S-PSH'!C14)^2 - 0.0009*('Cost Model S-PSH'!C14) + 83.095</f>
        <v>87.231480000000005</v>
      </c>
      <c r="W11" s="4">
        <f>0.000004*('Cost Model S-PSH'!C14)^2 + 0.0004*('Cost Model S-PSH'!C14) + 75.715</f>
        <v>80.148663999999997</v>
      </c>
      <c r="X11" s="4">
        <f>0.000004*('Cost Model S-PSH'!C14)^2 + 0.0021*('Cost Model S-PSH'!C14) + 71.437</f>
        <v>77.577463999999992</v>
      </c>
      <c r="Y11" s="4">
        <f>0.0000006*('Cost Model S-PSH'!C14)^2 + 0.0109*('Cost Model S-PSH'!C14) + 62.383</f>
        <v>73.931409599999995</v>
      </c>
      <c r="Z11" s="4">
        <f>0.000003*('Cost Model S-PSH'!C14)^2 + 0.0062*('Cost Model S-PSH'!C14) + 109.48</f>
        <v>118.728848</v>
      </c>
      <c r="AA11" s="4">
        <f>0.000001*('Cost Model S-PSH'!C14)^2 + 0.0099*('Cost Model S-PSH'!C14) + 90.767</f>
        <v>101.71461599999999</v>
      </c>
      <c r="AB11" s="4">
        <f>0.000002*('Cost Model S-PSH'!C14)^2 + 0.0073*('Cost Model S-PSH'!C14) + 84.676</f>
        <v>94.021231999999998</v>
      </c>
      <c r="AC11" s="4">
        <f>-0.0000001*('Cost Model S-PSH'!C14)^2 + 0.0123*('Cost Model S-PSH'!C14) + 73.167</f>
        <v>85.415398400000001</v>
      </c>
      <c r="AE11" s="4" t="s">
        <v>540</v>
      </c>
      <c r="AF11" s="4">
        <f>0.000006*('Cost Model S-PSH'!C14)^2 - 0.0183*('Cost Model S-PSH'!C14) + 43.547</f>
        <v>31.221895999999997</v>
      </c>
      <c r="AG11" s="4">
        <f>0.000007*('Cost Model S-PSH'!C14)^2 - 0.0198*('Cost Model S-PSH'!C14) + 41.489</f>
        <v>28.665911999999995</v>
      </c>
      <c r="AH11" s="4">
        <f>0.000006*('Cost Model S-PSH'!C14)^2 - 0.0162*('Cost Model S-PSH'!C14) + 36.672</f>
        <v>26.455296000000001</v>
      </c>
      <c r="AI11" s="4">
        <f>0.000005*('Cost Model S-PSH'!C14)^2 - 0.0128*('Cost Model S-PSH'!C14) + 33.573</f>
        <v>25.761880000000001</v>
      </c>
      <c r="AJ11" s="4">
        <f>0.00001*('Cost Model S-PSH'!C14)^2 - 0.0308*('Cost Model S-PSH'!C14) + 67.023</f>
        <v>46.179959999999994</v>
      </c>
      <c r="AK11" s="4">
        <f>0.000007*('Cost Model S-PSH'!C14)^2 - 0.0207*('Cost Model S-PSH'!C14) + 54.238</f>
        <v>40.511312000000004</v>
      </c>
      <c r="AL11" s="4">
        <f>0.000007*('Cost Model S-PSH'!C14)^2 - 0.0205*('Cost Model S-PSH'!C14) + 50.886</f>
        <v>37.360112000000001</v>
      </c>
      <c r="AM11" s="4">
        <f>0.000005*('Cost Model S-PSH'!C14)^2 - 0.0146*('Cost Model S-PSH'!C14) + 43.361</f>
        <v>33.742679999999993</v>
      </c>
    </row>
    <row r="43" spans="1:39">
      <c r="B43" s="155" t="s">
        <v>541</v>
      </c>
      <c r="C43" s="155"/>
      <c r="D43" s="155"/>
      <c r="E43" s="155"/>
      <c r="F43" s="155"/>
      <c r="G43" s="155"/>
      <c r="H43" s="155"/>
      <c r="L43" s="155" t="s">
        <v>542</v>
      </c>
      <c r="M43" s="155"/>
      <c r="N43" s="155"/>
      <c r="O43" s="155"/>
      <c r="P43" s="155"/>
      <c r="Q43" s="155"/>
      <c r="R43" s="155"/>
      <c r="V43" s="155" t="s">
        <v>543</v>
      </c>
      <c r="W43" s="155"/>
      <c r="X43" s="155"/>
      <c r="Y43" s="155"/>
      <c r="Z43" s="155"/>
      <c r="AA43" s="155"/>
      <c r="AB43" s="155"/>
      <c r="AF43" s="155" t="s">
        <v>544</v>
      </c>
      <c r="AG43" s="155"/>
      <c r="AH43" s="155"/>
      <c r="AI43" s="155"/>
      <c r="AJ43" s="155"/>
      <c r="AK43" s="155"/>
      <c r="AL43" s="155"/>
    </row>
    <row r="44" spans="1:39">
      <c r="B44" s="156" t="s">
        <v>501</v>
      </c>
      <c r="C44" s="156"/>
      <c r="D44" s="156"/>
      <c r="E44" s="156"/>
      <c r="F44" s="156" t="s">
        <v>502</v>
      </c>
      <c r="G44" s="156"/>
      <c r="H44" s="156"/>
      <c r="I44" s="156"/>
      <c r="L44" s="156" t="s">
        <v>501</v>
      </c>
      <c r="M44" s="156"/>
      <c r="N44" s="156"/>
      <c r="O44" s="156"/>
      <c r="P44" s="156" t="s">
        <v>502</v>
      </c>
      <c r="Q44" s="156"/>
      <c r="R44" s="156"/>
      <c r="S44" s="156"/>
      <c r="V44" s="156" t="s">
        <v>501</v>
      </c>
      <c r="W44" s="156"/>
      <c r="X44" s="156"/>
      <c r="Y44" s="156"/>
      <c r="Z44" s="156" t="s">
        <v>502</v>
      </c>
      <c r="AA44" s="156"/>
      <c r="AB44" s="156"/>
      <c r="AC44" s="156"/>
      <c r="AF44" s="156" t="s">
        <v>501</v>
      </c>
      <c r="AG44" s="156"/>
      <c r="AH44" s="156"/>
      <c r="AI44" s="156"/>
      <c r="AJ44" s="156" t="s">
        <v>502</v>
      </c>
      <c r="AK44" s="156"/>
      <c r="AL44" s="156"/>
      <c r="AM44" s="156"/>
    </row>
    <row r="45" spans="1:39">
      <c r="A45" s="4" t="s">
        <v>503</v>
      </c>
      <c r="B45" s="4" t="s">
        <v>662</v>
      </c>
      <c r="C45" s="4" t="s">
        <v>663</v>
      </c>
      <c r="D45" s="4" t="s">
        <v>664</v>
      </c>
      <c r="E45" s="4" t="s">
        <v>665</v>
      </c>
      <c r="F45" s="4" t="s">
        <v>662</v>
      </c>
      <c r="G45" s="4" t="s">
        <v>663</v>
      </c>
      <c r="H45" s="4" t="s">
        <v>664</v>
      </c>
      <c r="I45" s="4" t="s">
        <v>665</v>
      </c>
      <c r="K45" s="4" t="s">
        <v>503</v>
      </c>
      <c r="L45" s="4" t="s">
        <v>666</v>
      </c>
      <c r="M45" s="4" t="s">
        <v>667</v>
      </c>
      <c r="N45" s="4" t="s">
        <v>668</v>
      </c>
      <c r="O45" s="4" t="s">
        <v>669</v>
      </c>
      <c r="P45" s="4" t="s">
        <v>666</v>
      </c>
      <c r="Q45" s="4" t="s">
        <v>667</v>
      </c>
      <c r="R45" s="4" t="s">
        <v>668</v>
      </c>
      <c r="S45" s="4" t="s">
        <v>669</v>
      </c>
      <c r="U45" s="4" t="s">
        <v>503</v>
      </c>
      <c r="V45" s="4" t="s">
        <v>662</v>
      </c>
      <c r="W45" s="4" t="s">
        <v>663</v>
      </c>
      <c r="X45" s="4" t="s">
        <v>664</v>
      </c>
      <c r="Y45" s="4" t="s">
        <v>665</v>
      </c>
      <c r="Z45" s="4" t="s">
        <v>662</v>
      </c>
      <c r="AA45" s="4" t="s">
        <v>663</v>
      </c>
      <c r="AB45" s="4" t="s">
        <v>664</v>
      </c>
      <c r="AC45" s="4" t="s">
        <v>665</v>
      </c>
      <c r="AE45" s="4" t="s">
        <v>503</v>
      </c>
      <c r="AF45" s="4" t="s">
        <v>666</v>
      </c>
      <c r="AG45" s="4" t="s">
        <v>667</v>
      </c>
      <c r="AH45" s="4" t="s">
        <v>668</v>
      </c>
      <c r="AI45" s="4" t="s">
        <v>669</v>
      </c>
      <c r="AJ45" s="4" t="s">
        <v>666</v>
      </c>
      <c r="AK45" s="4" t="s">
        <v>667</v>
      </c>
      <c r="AL45" s="4" t="s">
        <v>668</v>
      </c>
      <c r="AM45" s="4" t="s">
        <v>669</v>
      </c>
    </row>
    <row r="46" spans="1:39">
      <c r="A46" s="4">
        <v>350</v>
      </c>
      <c r="B46" s="4">
        <v>123</v>
      </c>
      <c r="C46" s="4">
        <v>108</v>
      </c>
      <c r="D46" s="4">
        <v>97</v>
      </c>
      <c r="E46" s="4">
        <v>90</v>
      </c>
      <c r="F46" s="4">
        <v>158</v>
      </c>
      <c r="G46" s="4">
        <v>134</v>
      </c>
      <c r="H46" s="4">
        <v>122</v>
      </c>
      <c r="I46" s="4">
        <v>112</v>
      </c>
      <c r="K46" s="4">
        <v>350</v>
      </c>
      <c r="L46" s="4">
        <v>116</v>
      </c>
      <c r="M46" s="4">
        <v>100</v>
      </c>
      <c r="N46" s="4">
        <v>92</v>
      </c>
      <c r="O46" s="4">
        <v>83</v>
      </c>
      <c r="P46" s="4">
        <v>148</v>
      </c>
      <c r="Q46" s="4">
        <v>126</v>
      </c>
      <c r="R46" s="4">
        <v>116</v>
      </c>
      <c r="S46" s="4">
        <v>104</v>
      </c>
      <c r="U46" s="4">
        <v>350</v>
      </c>
      <c r="V46" s="4">
        <v>63</v>
      </c>
      <c r="W46" s="4">
        <v>56</v>
      </c>
      <c r="X46" s="4">
        <v>52</v>
      </c>
      <c r="Y46" s="4">
        <v>48</v>
      </c>
      <c r="Z46" s="4">
        <v>92</v>
      </c>
      <c r="AA46" s="4">
        <v>75.5</v>
      </c>
      <c r="AB46" s="4">
        <v>70</v>
      </c>
      <c r="AC46" s="4">
        <v>64</v>
      </c>
      <c r="AE46" s="4">
        <v>350</v>
      </c>
      <c r="AF46" s="4">
        <v>50</v>
      </c>
      <c r="AG46" s="4">
        <v>44</v>
      </c>
      <c r="AH46" s="4">
        <v>41</v>
      </c>
      <c r="AI46" s="4">
        <v>38</v>
      </c>
      <c r="AJ46" s="4">
        <v>73</v>
      </c>
      <c r="AK46" s="4">
        <v>61.5</v>
      </c>
      <c r="AL46" s="4">
        <v>56</v>
      </c>
      <c r="AM46" s="4">
        <v>50</v>
      </c>
    </row>
    <row r="47" spans="1:39">
      <c r="A47" s="4">
        <v>500</v>
      </c>
      <c r="B47" s="4">
        <v>95</v>
      </c>
      <c r="C47" s="4">
        <v>83</v>
      </c>
      <c r="D47" s="4">
        <v>75</v>
      </c>
      <c r="E47" s="4">
        <v>68</v>
      </c>
      <c r="F47" s="4">
        <v>120</v>
      </c>
      <c r="G47" s="4">
        <v>103</v>
      </c>
      <c r="H47" s="4">
        <v>96</v>
      </c>
      <c r="I47" s="4">
        <v>86</v>
      </c>
      <c r="K47" s="4">
        <v>500</v>
      </c>
      <c r="L47" s="4">
        <v>95</v>
      </c>
      <c r="M47" s="4">
        <v>80</v>
      </c>
      <c r="N47" s="4">
        <v>73</v>
      </c>
      <c r="O47" s="4">
        <v>64</v>
      </c>
      <c r="P47" s="4">
        <v>116</v>
      </c>
      <c r="Q47" s="4">
        <v>100</v>
      </c>
      <c r="R47" s="4">
        <v>94</v>
      </c>
      <c r="S47" s="4">
        <v>83</v>
      </c>
      <c r="U47" s="4">
        <v>500</v>
      </c>
      <c r="V47" s="4">
        <v>62</v>
      </c>
      <c r="W47" s="4">
        <v>55</v>
      </c>
      <c r="X47" s="4">
        <v>52</v>
      </c>
      <c r="Y47" s="4">
        <v>48</v>
      </c>
      <c r="Z47" s="4">
        <v>90</v>
      </c>
      <c r="AA47" s="4">
        <v>76</v>
      </c>
      <c r="AB47" s="4">
        <v>71</v>
      </c>
      <c r="AC47" s="4">
        <v>64</v>
      </c>
      <c r="AE47" s="4">
        <v>500</v>
      </c>
      <c r="AF47" s="4">
        <v>46</v>
      </c>
      <c r="AG47" s="4">
        <v>41.5</v>
      </c>
      <c r="AH47" s="4">
        <v>38</v>
      </c>
      <c r="AI47" s="4">
        <v>36</v>
      </c>
      <c r="AJ47" s="4">
        <v>70</v>
      </c>
      <c r="AK47" s="4">
        <v>59</v>
      </c>
      <c r="AL47" s="4">
        <v>55</v>
      </c>
      <c r="AM47" s="4">
        <v>48</v>
      </c>
    </row>
    <row r="48" spans="1:39">
      <c r="A48" s="4">
        <v>1000</v>
      </c>
      <c r="B48" s="4">
        <v>69</v>
      </c>
      <c r="C48" s="4">
        <v>58</v>
      </c>
      <c r="D48" s="4">
        <v>52</v>
      </c>
      <c r="E48" s="4">
        <v>48</v>
      </c>
      <c r="F48" s="4">
        <v>87</v>
      </c>
      <c r="G48" s="4">
        <v>74</v>
      </c>
      <c r="H48" s="4">
        <v>66</v>
      </c>
      <c r="I48" s="4">
        <v>58</v>
      </c>
      <c r="K48" s="4">
        <v>1000</v>
      </c>
      <c r="L48" s="4">
        <v>59</v>
      </c>
      <c r="M48" s="4">
        <v>52</v>
      </c>
      <c r="N48" s="4">
        <v>44</v>
      </c>
      <c r="O48" s="4">
        <v>40</v>
      </c>
      <c r="P48" s="4">
        <v>74</v>
      </c>
      <c r="Q48" s="4">
        <v>64</v>
      </c>
      <c r="R48" s="4">
        <v>55</v>
      </c>
      <c r="S48" s="4">
        <v>52</v>
      </c>
      <c r="U48" s="4">
        <v>1000</v>
      </c>
      <c r="V48" s="4">
        <v>60</v>
      </c>
      <c r="W48" s="4">
        <v>54</v>
      </c>
      <c r="X48" s="4">
        <v>53</v>
      </c>
      <c r="Y48" s="4">
        <v>49</v>
      </c>
      <c r="Z48" s="4">
        <v>90</v>
      </c>
      <c r="AA48" s="4">
        <v>78</v>
      </c>
      <c r="AB48" s="4">
        <v>74</v>
      </c>
      <c r="AC48" s="4">
        <v>66</v>
      </c>
      <c r="AE48" s="4">
        <v>1000</v>
      </c>
      <c r="AF48" s="4">
        <v>42</v>
      </c>
      <c r="AG48" s="4">
        <v>37</v>
      </c>
      <c r="AH48" s="4">
        <v>36</v>
      </c>
      <c r="AI48" s="4">
        <v>34.5</v>
      </c>
      <c r="AJ48" s="4">
        <v>64</v>
      </c>
      <c r="AK48" s="4">
        <v>55.5</v>
      </c>
      <c r="AL48" s="4">
        <v>51</v>
      </c>
      <c r="AM48" s="4">
        <v>46</v>
      </c>
    </row>
    <row r="49" spans="1:39">
      <c r="A49" s="4">
        <v>1500</v>
      </c>
      <c r="B49" s="4">
        <v>63</v>
      </c>
      <c r="C49" s="4">
        <v>54</v>
      </c>
      <c r="D49" s="4">
        <v>46</v>
      </c>
      <c r="E49" s="4">
        <v>41</v>
      </c>
      <c r="F49" s="4">
        <v>79</v>
      </c>
      <c r="G49" s="4">
        <v>69</v>
      </c>
      <c r="H49" s="4">
        <v>62</v>
      </c>
      <c r="I49" s="4">
        <v>56</v>
      </c>
      <c r="K49" s="4">
        <v>1500</v>
      </c>
      <c r="L49" s="4">
        <v>46</v>
      </c>
      <c r="M49" s="4">
        <v>41</v>
      </c>
      <c r="N49" s="4">
        <v>36</v>
      </c>
      <c r="O49" s="4">
        <v>32</v>
      </c>
      <c r="P49" s="4">
        <v>60</v>
      </c>
      <c r="Q49" s="4">
        <v>50</v>
      </c>
      <c r="R49" s="4">
        <v>44</v>
      </c>
      <c r="S49" s="4">
        <v>40</v>
      </c>
      <c r="U49" s="4">
        <v>1500</v>
      </c>
      <c r="V49" s="4">
        <v>62</v>
      </c>
      <c r="W49" s="4">
        <v>56</v>
      </c>
      <c r="X49" s="4">
        <v>54.5</v>
      </c>
      <c r="Y49" s="4">
        <v>53</v>
      </c>
      <c r="Z49" s="4">
        <v>94</v>
      </c>
      <c r="AA49" s="4">
        <v>82</v>
      </c>
      <c r="AB49" s="4">
        <v>75.5</v>
      </c>
      <c r="AC49" s="4">
        <v>69</v>
      </c>
      <c r="AE49" s="4">
        <v>1500</v>
      </c>
      <c r="AF49" s="4">
        <v>44</v>
      </c>
      <c r="AG49" s="4">
        <v>40</v>
      </c>
      <c r="AH49" s="4">
        <v>37.5</v>
      </c>
      <c r="AI49" s="4">
        <v>36</v>
      </c>
      <c r="AJ49" s="4">
        <v>62</v>
      </c>
      <c r="AK49" s="4">
        <v>55</v>
      </c>
      <c r="AL49" s="4">
        <v>50</v>
      </c>
      <c r="AM49" s="4">
        <v>47</v>
      </c>
    </row>
    <row r="50" spans="1:39">
      <c r="A50" s="4">
        <v>2000</v>
      </c>
      <c r="B50" s="4">
        <v>58</v>
      </c>
      <c r="C50" s="4">
        <v>50</v>
      </c>
      <c r="D50" s="4">
        <v>44</v>
      </c>
      <c r="E50" s="4">
        <v>39</v>
      </c>
      <c r="F50" s="4">
        <v>76</v>
      </c>
      <c r="G50" s="4">
        <v>64</v>
      </c>
      <c r="H50" s="4">
        <v>56</v>
      </c>
      <c r="I50" s="4">
        <v>52</v>
      </c>
      <c r="K50" s="4">
        <v>2000</v>
      </c>
      <c r="L50" s="4">
        <v>45</v>
      </c>
      <c r="M50" s="4">
        <v>38.75</v>
      </c>
      <c r="N50" s="4">
        <v>34</v>
      </c>
      <c r="O50" s="4">
        <v>30</v>
      </c>
      <c r="P50" s="4">
        <v>56</v>
      </c>
      <c r="Q50" s="4">
        <v>48</v>
      </c>
      <c r="R50" s="4">
        <v>43</v>
      </c>
      <c r="S50" s="4">
        <v>38</v>
      </c>
      <c r="U50" s="4">
        <v>2000</v>
      </c>
      <c r="V50" s="4">
        <v>66</v>
      </c>
      <c r="W50" s="4">
        <v>64</v>
      </c>
      <c r="X50" s="4">
        <v>59</v>
      </c>
      <c r="Y50" s="4">
        <v>56</v>
      </c>
      <c r="Z50" s="4">
        <v>98</v>
      </c>
      <c r="AA50" s="4">
        <v>85</v>
      </c>
      <c r="AB50" s="4">
        <v>80</v>
      </c>
      <c r="AC50" s="4">
        <v>74</v>
      </c>
      <c r="AE50" s="4">
        <v>2000</v>
      </c>
      <c r="AF50" s="4">
        <v>45</v>
      </c>
      <c r="AG50" s="4">
        <v>43</v>
      </c>
      <c r="AH50" s="4">
        <v>40</v>
      </c>
      <c r="AI50" s="4">
        <v>38</v>
      </c>
      <c r="AJ50" s="4">
        <v>64</v>
      </c>
      <c r="AK50" s="4">
        <v>56</v>
      </c>
      <c r="AL50" s="4">
        <v>53</v>
      </c>
      <c r="AM50" s="4">
        <v>49</v>
      </c>
    </row>
    <row r="51" spans="1:39">
      <c r="A51" s="4">
        <v>2250</v>
      </c>
      <c r="B51" s="4">
        <v>56</v>
      </c>
      <c r="C51" s="4">
        <v>49</v>
      </c>
      <c r="D51" s="4">
        <v>43</v>
      </c>
      <c r="E51" s="4">
        <v>38</v>
      </c>
      <c r="F51" s="4">
        <v>74</v>
      </c>
      <c r="G51" s="4">
        <v>62</v>
      </c>
      <c r="H51" s="4">
        <v>54</v>
      </c>
      <c r="I51" s="4">
        <v>51</v>
      </c>
      <c r="K51" s="4">
        <v>2250</v>
      </c>
      <c r="L51" s="4">
        <v>45</v>
      </c>
      <c r="M51" s="4">
        <v>38.5</v>
      </c>
      <c r="N51" s="4">
        <v>33.75</v>
      </c>
      <c r="O51" s="4">
        <v>29.5</v>
      </c>
      <c r="P51" s="4">
        <v>57</v>
      </c>
      <c r="Q51" s="4">
        <v>48</v>
      </c>
      <c r="R51" s="4">
        <v>43</v>
      </c>
      <c r="S51" s="4">
        <v>38.5</v>
      </c>
      <c r="U51" s="4">
        <v>2250</v>
      </c>
      <c r="V51" s="4">
        <v>71</v>
      </c>
      <c r="W51" s="4">
        <v>66</v>
      </c>
      <c r="X51" s="4">
        <v>63</v>
      </c>
      <c r="Y51" s="4">
        <v>60</v>
      </c>
      <c r="Z51" s="4">
        <v>101</v>
      </c>
      <c r="AA51" s="4">
        <v>89</v>
      </c>
      <c r="AB51" s="4">
        <v>83</v>
      </c>
      <c r="AC51" s="4">
        <v>75</v>
      </c>
      <c r="AE51" s="4">
        <v>2250</v>
      </c>
      <c r="AF51" s="4">
        <v>46</v>
      </c>
      <c r="AG51" s="4">
        <v>44</v>
      </c>
      <c r="AH51" s="4">
        <v>41</v>
      </c>
      <c r="AI51" s="4">
        <v>38.5</v>
      </c>
      <c r="AJ51" s="4">
        <v>66</v>
      </c>
      <c r="AK51" s="4">
        <v>58</v>
      </c>
      <c r="AL51" s="4">
        <v>55</v>
      </c>
      <c r="AM51" s="4">
        <v>50</v>
      </c>
    </row>
    <row r="52" spans="1:39">
      <c r="B52" s="7" t="s">
        <v>545</v>
      </c>
      <c r="C52" s="7" t="s">
        <v>546</v>
      </c>
      <c r="D52" s="7" t="s">
        <v>547</v>
      </c>
      <c r="E52" s="7" t="s">
        <v>548</v>
      </c>
      <c r="F52" s="7" t="s">
        <v>549</v>
      </c>
      <c r="G52" s="7" t="s">
        <v>550</v>
      </c>
      <c r="H52" s="7" t="s">
        <v>551</v>
      </c>
      <c r="I52" s="7" t="s">
        <v>552</v>
      </c>
      <c r="L52" s="7" t="s">
        <v>553</v>
      </c>
      <c r="M52" s="7" t="s">
        <v>554</v>
      </c>
      <c r="N52" s="7" t="s">
        <v>555</v>
      </c>
      <c r="O52" s="7" t="s">
        <v>556</v>
      </c>
      <c r="P52" s="7" t="s">
        <v>557</v>
      </c>
      <c r="Q52" s="7" t="s">
        <v>558</v>
      </c>
      <c r="R52" s="7" t="s">
        <v>559</v>
      </c>
      <c r="S52" s="7" t="s">
        <v>560</v>
      </c>
      <c r="V52" s="7" t="s">
        <v>561</v>
      </c>
      <c r="W52" s="7" t="s">
        <v>562</v>
      </c>
      <c r="X52" s="7" t="s">
        <v>563</v>
      </c>
      <c r="Y52" s="7" t="s">
        <v>564</v>
      </c>
      <c r="Z52" s="7" t="s">
        <v>565</v>
      </c>
      <c r="AA52" s="7" t="s">
        <v>566</v>
      </c>
      <c r="AB52" s="7" t="s">
        <v>567</v>
      </c>
      <c r="AC52" s="7" t="s">
        <v>568</v>
      </c>
      <c r="AF52" s="7" t="s">
        <v>569</v>
      </c>
      <c r="AG52" s="7" t="s">
        <v>570</v>
      </c>
      <c r="AH52" s="7" t="s">
        <v>571</v>
      </c>
      <c r="AI52" s="7" t="s">
        <v>572</v>
      </c>
      <c r="AJ52" s="7" t="s">
        <v>573</v>
      </c>
      <c r="AK52" s="7" t="s">
        <v>574</v>
      </c>
      <c r="AL52" s="7" t="s">
        <v>575</v>
      </c>
      <c r="AM52" s="7" t="s">
        <v>576</v>
      </c>
    </row>
    <row r="53" spans="1:39">
      <c r="A53" s="4" t="s">
        <v>540</v>
      </c>
      <c r="B53" s="4">
        <f>1229.6*('Cost Model S-PSH'!C14)^-0.405</f>
        <v>74.827580151431476</v>
      </c>
      <c r="C53" s="4">
        <f>1113.2*('Cost Model S-PSH'!C14)^-0.412</f>
        <v>64.54445053006792</v>
      </c>
      <c r="D53" s="4">
        <f>1126.8*('Cost Model S-PSH'!C14)^-0.431</f>
        <v>57.292742032233939</v>
      </c>
      <c r="E53" s="4">
        <f>1195.5*('Cost Model S-PSH'!C14)^-0.454</f>
        <v>51.851637340411784</v>
      </c>
      <c r="F53" s="4">
        <f>1435.5*('Cost Model S-PSH'!C14)^-0.392</f>
        <v>95.570439105437345</v>
      </c>
      <c r="G53" s="4">
        <f>1258*('Cost Model S-PSH'!C14)^-0.396</f>
        <v>81.469319894388633</v>
      </c>
      <c r="H53" s="4">
        <f>1375*('Cost Model S-PSH'!C14)^-0.424</f>
        <v>73.378292897764894</v>
      </c>
      <c r="I53" s="4">
        <f>1131*('Cost Model S-PSH'!C14)^-0.41</f>
        <v>66.489303361228465</v>
      </c>
      <c r="K53" s="4" t="s">
        <v>540</v>
      </c>
      <c r="L53" s="4">
        <f>2163.3*('Cost Model S-PSH'!C14)^-0.512</f>
        <v>62.838974552227391</v>
      </c>
      <c r="M53" s="4">
        <f>1725.2*('Cost Model S-PSH'!C14)^-0.501</f>
        <v>54.071804019070235</v>
      </c>
      <c r="N53" s="4">
        <f>1735.2*('Cost Model S-PSH'!C14)^-0.52</f>
        <v>47.69227157990597</v>
      </c>
      <c r="O53" s="4">
        <f>1578.2*('Cost Model S-PSH'!C14)^-0.524</f>
        <v>42.194279321678209</v>
      </c>
      <c r="P53" s="4">
        <f>2315.8*('Cost Model S-PSH'!C14)^-0.49</f>
        <v>78.316186209028274</v>
      </c>
      <c r="Q53" s="4">
        <f>2194.6*('Cost Model S-PSH'!C14)^-0.505</f>
        <v>66.908277567064943</v>
      </c>
      <c r="R53" s="4">
        <f>2353.1*('Cost Model S-PSH'!C14)^-0.53</f>
        <v>60.356148172776258</v>
      </c>
      <c r="S53" s="4">
        <f>2162.4*('Cost Model S-PSH'!C14)^-0.533</f>
        <v>54.326529693239124</v>
      </c>
      <c r="U53" s="4" t="s">
        <v>540</v>
      </c>
      <c r="V53" s="4">
        <f>0.000007*('Cost Model S-PSH'!C14)^2 - 0.0146*('Cost Model S-PSH'!C14) + 67.574</f>
        <v>59.971711999999997</v>
      </c>
      <c r="W53" s="4">
        <f>0.000007*('Cost Model S-PSH'!C14)^2 - 0.0117*('Cost Model S-PSH'!C14) + 59.042</f>
        <v>54.351312</v>
      </c>
      <c r="X53" s="4">
        <f>0.000005*('Cost Model S-PSH'!C14)^2 - 0.0065*('Cost Model S-PSH'!C14) + 54.377</f>
        <v>52.891080000000002</v>
      </c>
      <c r="Y53" s="4">
        <f>0.000003*('Cost Model S-PSH'!C14)^2 - 0.0018*('Cost Model S-PSH'!C14) + 48.04</f>
        <v>49.256847999999998</v>
      </c>
      <c r="Z53" s="4">
        <f>0.000004*('Cost Model S-PSH'!C14)^2 - 0.0039*('Cost Model S-PSH'!C14) + 90.761</f>
        <v>90.877463999999989</v>
      </c>
      <c r="AA53" s="4">
        <f>0.000002*('Cost Model S-PSH'!C14)^2 + 0.0008*('Cost Model S-PSH'!C14) + 75.02</f>
        <v>77.839231999999996</v>
      </c>
      <c r="AB53" s="4">
        <f>0.000002*('Cost Model S-PSH'!C14)^2 + 0.0002*('Cost Model S-PSH'!C14) + 70.655</f>
        <v>72.871831999999998</v>
      </c>
      <c r="AC53" s="4">
        <f>0.000002*('Cost Model S-PSH'!C14)^2 + 0.002*('Cost Model S-PSH'!C14)+ 62.446</f>
        <v>66.470032000000003</v>
      </c>
      <c r="AE53" s="4" t="s">
        <v>540</v>
      </c>
      <c r="AF53" s="4">
        <f>0.000006*('Cost Model S-PSH'!C14)^2 - 0.0159*('Cost Model S-PSH'!C14) + 53.593</f>
        <v>43.677496000000005</v>
      </c>
      <c r="AG53" s="4">
        <f>0.000006*('Cost Model S-PSH'!C14)^2 - 0.0157*('Cost Model S-PSH'!C14) + 47.989</f>
        <v>38.274296</v>
      </c>
      <c r="AH53" s="4">
        <f>0.000005*('Cost Model S-PSH'!C14)^2 - 0.0116*('Cost Model S-PSH'!C14)+ 43.522</f>
        <v>36.915680000000002</v>
      </c>
      <c r="AI53" s="4">
        <f>0.000003*('Cost Model S-PSH'!C14)^2 - 0.0078*('Cost Model S-PSH'!C14) + 39.647</f>
        <v>34.839847999999996</v>
      </c>
      <c r="AJ53" s="4">
        <f>0.000008*('Cost Model S-PSH'!C14)^2 - 0.0241*('Cost Model S-PSH'!C14)+ 80.261</f>
        <v>64.128727999999995</v>
      </c>
      <c r="AK53" s="4">
        <f>0.000005*('Cost Model S-PSH'!C14)^2 - 0.0155*('Cost Model S-PSH'!C14) + 65.884</f>
        <v>55.362080000000006</v>
      </c>
      <c r="AL53" s="4">
        <f>0.000006*('Cost Model S-PSH'!C14)^2 - 0.0165*('Cost Model S-PSH'!C14) + 61.35</f>
        <v>50.832096</v>
      </c>
      <c r="AM53" s="4">
        <f>0.000004*('Cost Model S-PSH'!C14)^2 - 0.0099*('Cost Model S-PSH'!C14) + 52.44</f>
        <v>46.532463999999997</v>
      </c>
    </row>
    <row r="85" spans="1:35">
      <c r="A85" s="157" t="s">
        <v>577</v>
      </c>
      <c r="B85" s="157"/>
      <c r="C85" s="157"/>
      <c r="K85" s="5" t="s">
        <v>578</v>
      </c>
      <c r="V85" s="155" t="s">
        <v>579</v>
      </c>
      <c r="W85" s="155"/>
      <c r="X85" s="155"/>
      <c r="Y85" s="155"/>
      <c r="Z85" s="155"/>
      <c r="AA85" s="155"/>
      <c r="AB85" s="155"/>
      <c r="AE85" s="5" t="s">
        <v>580</v>
      </c>
    </row>
    <row r="86" spans="1:35">
      <c r="A86" s="139" t="s">
        <v>581</v>
      </c>
      <c r="B86" s="4" t="s">
        <v>582</v>
      </c>
      <c r="D86" s="139" t="s">
        <v>583</v>
      </c>
      <c r="E86" s="4" t="s">
        <v>584</v>
      </c>
      <c r="F86" s="139" t="s">
        <v>585</v>
      </c>
      <c r="G86" s="139" t="s">
        <v>586</v>
      </c>
      <c r="H86" s="139" t="s">
        <v>587</v>
      </c>
      <c r="K86" s="4" t="s">
        <v>588</v>
      </c>
      <c r="L86" s="4" t="s">
        <v>589</v>
      </c>
      <c r="M86" s="4" t="s">
        <v>590</v>
      </c>
      <c r="V86" s="156" t="s">
        <v>591</v>
      </c>
      <c r="W86" s="156"/>
      <c r="X86" s="156"/>
      <c r="Y86" s="156"/>
      <c r="Z86" s="156" t="s">
        <v>592</v>
      </c>
      <c r="AA86" s="156"/>
      <c r="AB86" s="156"/>
      <c r="AC86" s="156"/>
      <c r="AE86" s="4" t="s">
        <v>593</v>
      </c>
      <c r="AF86" s="4" t="s">
        <v>594</v>
      </c>
    </row>
    <row r="87" spans="1:35">
      <c r="A87" s="4">
        <v>25</v>
      </c>
      <c r="B87" s="4">
        <v>0.2</v>
      </c>
      <c r="D87" s="4">
        <v>0.114</v>
      </c>
      <c r="E87" s="4">
        <v>13.5</v>
      </c>
      <c r="F87" s="103">
        <f>1/D87</f>
        <v>8.7719298245614024</v>
      </c>
      <c r="G87" s="102">
        <f>1/E87</f>
        <v>7.407407407407407E-2</v>
      </c>
      <c r="H87" s="4">
        <f t="shared" ref="H87:H93" si="0">($H$98*D87)/($H$96+D87)</f>
        <v>13.720565586723607</v>
      </c>
      <c r="K87" s="4">
        <v>10</v>
      </c>
      <c r="L87" s="4">
        <v>1.3</v>
      </c>
      <c r="M87" s="4">
        <v>0.2</v>
      </c>
      <c r="P87" t="s">
        <v>595</v>
      </c>
      <c r="U87" s="4" t="s">
        <v>596</v>
      </c>
      <c r="V87" s="4" t="s">
        <v>597</v>
      </c>
      <c r="W87" s="4" t="s">
        <v>598</v>
      </c>
      <c r="X87" s="4" t="s">
        <v>599</v>
      </c>
      <c r="Y87" s="4" t="s">
        <v>600</v>
      </c>
      <c r="Z87" s="4" t="s">
        <v>597</v>
      </c>
      <c r="AA87" s="4" t="s">
        <v>598</v>
      </c>
      <c r="AB87" s="4" t="s">
        <v>599</v>
      </c>
      <c r="AC87" s="4" t="s">
        <v>600</v>
      </c>
      <c r="AE87" s="4">
        <v>10</v>
      </c>
      <c r="AF87" s="4">
        <v>1950</v>
      </c>
    </row>
    <row r="88" spans="1:35">
      <c r="A88" s="4">
        <v>50</v>
      </c>
      <c r="B88" s="4">
        <v>0.5</v>
      </c>
      <c r="D88" s="4">
        <v>1</v>
      </c>
      <c r="E88" s="4">
        <v>9</v>
      </c>
      <c r="F88" s="103">
        <f t="shared" ref="F88:G93" si="1">1/D88</f>
        <v>1</v>
      </c>
      <c r="G88" s="102">
        <f t="shared" si="1"/>
        <v>0.1111111111111111</v>
      </c>
      <c r="H88" s="4">
        <f t="shared" si="0"/>
        <v>8.1565266080742109</v>
      </c>
      <c r="K88" s="4">
        <v>15</v>
      </c>
      <c r="L88" s="4">
        <v>2.5</v>
      </c>
      <c r="M88" s="4">
        <v>0.45</v>
      </c>
      <c r="O88" s="139" t="s">
        <v>601</v>
      </c>
      <c r="P88" s="4">
        <f>0.0154*('Cost Model S-PSH'!C110)^2 - 0.1968*'Cost Model S-PSH'!C110 + 1.85</f>
        <v>1.3944217960548464</v>
      </c>
      <c r="U88" s="4">
        <v>10</v>
      </c>
      <c r="V88" s="4">
        <v>1000</v>
      </c>
      <c r="W88" s="4">
        <v>1200</v>
      </c>
      <c r="X88" s="4">
        <v>1300</v>
      </c>
      <c r="Y88" s="4">
        <v>1400</v>
      </c>
      <c r="Z88" s="4">
        <v>1400</v>
      </c>
      <c r="AA88" s="4">
        <v>1500</v>
      </c>
      <c r="AB88" s="4">
        <v>1550</v>
      </c>
      <c r="AC88" s="4">
        <v>1600</v>
      </c>
      <c r="AE88" s="4">
        <v>15</v>
      </c>
      <c r="AF88" s="4">
        <v>2800</v>
      </c>
    </row>
    <row r="89" spans="1:35">
      <c r="A89" s="4">
        <v>100</v>
      </c>
      <c r="B89" s="4">
        <v>1.4</v>
      </c>
      <c r="D89" s="4">
        <v>2</v>
      </c>
      <c r="E89" s="4">
        <v>8</v>
      </c>
      <c r="F89" s="103">
        <f t="shared" si="1"/>
        <v>0.5</v>
      </c>
      <c r="G89" s="102">
        <f t="shared" si="1"/>
        <v>0.125</v>
      </c>
      <c r="H89" s="4">
        <f t="shared" si="0"/>
        <v>7.9491405953633016</v>
      </c>
      <c r="K89" s="4">
        <v>20</v>
      </c>
      <c r="L89" s="4">
        <v>4.2</v>
      </c>
      <c r="M89" s="4">
        <v>0.9</v>
      </c>
      <c r="U89" s="4">
        <v>15</v>
      </c>
      <c r="V89" s="4">
        <v>1500</v>
      </c>
      <c r="W89" s="4">
        <v>1700</v>
      </c>
      <c r="X89" s="4">
        <v>1800</v>
      </c>
      <c r="Y89" s="4">
        <v>1900</v>
      </c>
      <c r="Z89" s="4">
        <v>2200</v>
      </c>
      <c r="AA89" s="4">
        <v>2400</v>
      </c>
      <c r="AB89" s="4">
        <v>2500</v>
      </c>
      <c r="AC89" s="4">
        <v>2600</v>
      </c>
      <c r="AE89" s="4">
        <v>20</v>
      </c>
      <c r="AF89" s="4">
        <v>3700</v>
      </c>
      <c r="AI89" t="s">
        <v>602</v>
      </c>
    </row>
    <row r="90" spans="1:35">
      <c r="A90" s="4">
        <v>150</v>
      </c>
      <c r="B90" s="4">
        <v>2.7</v>
      </c>
      <c r="D90" s="4">
        <v>4</v>
      </c>
      <c r="E90" s="4">
        <v>7.8</v>
      </c>
      <c r="F90" s="103">
        <f t="shared" si="1"/>
        <v>0.25</v>
      </c>
      <c r="G90" s="102">
        <f t="shared" si="1"/>
        <v>0.12820512820512822</v>
      </c>
      <c r="H90" s="4">
        <f t="shared" si="0"/>
        <v>7.8493526569366407</v>
      </c>
      <c r="K90" s="4">
        <v>25</v>
      </c>
      <c r="L90" s="4">
        <v>6.4</v>
      </c>
      <c r="M90" s="4">
        <v>1.3</v>
      </c>
      <c r="P90" t="s">
        <v>603</v>
      </c>
      <c r="U90" s="4">
        <v>20</v>
      </c>
      <c r="V90" s="4">
        <v>2200</v>
      </c>
      <c r="W90" s="4">
        <v>2400</v>
      </c>
      <c r="X90" s="4">
        <v>2500</v>
      </c>
      <c r="Y90" s="4">
        <v>2700</v>
      </c>
      <c r="Z90" s="4">
        <v>3200</v>
      </c>
      <c r="AA90" s="4">
        <v>3450</v>
      </c>
      <c r="AB90" s="4">
        <v>3600</v>
      </c>
      <c r="AC90" s="4">
        <v>3900</v>
      </c>
      <c r="AE90" s="4">
        <v>25</v>
      </c>
      <c r="AF90" s="4">
        <v>4700</v>
      </c>
      <c r="AH90" s="139" t="s">
        <v>604</v>
      </c>
      <c r="AI90" s="4">
        <f>186.57*'Cost Model S-PSH'!C94 + 27.143</f>
        <v>2015.9323352599367</v>
      </c>
    </row>
    <row r="91" spans="1:35">
      <c r="A91" s="4">
        <v>200</v>
      </c>
      <c r="B91" s="4">
        <v>4.4000000000000004</v>
      </c>
      <c r="D91" s="4">
        <v>6</v>
      </c>
      <c r="E91" s="4">
        <v>7.7</v>
      </c>
      <c r="F91" s="103">
        <f t="shared" si="1"/>
        <v>0.16666666666666666</v>
      </c>
      <c r="G91" s="102">
        <f t="shared" si="1"/>
        <v>0.12987012987012986</v>
      </c>
      <c r="H91" s="4">
        <f t="shared" si="0"/>
        <v>7.8166444321108628</v>
      </c>
      <c r="K91" s="4">
        <v>30</v>
      </c>
      <c r="L91" s="4">
        <v>9.6</v>
      </c>
      <c r="M91" s="4">
        <v>2.2999999999999998</v>
      </c>
      <c r="O91" s="139" t="s">
        <v>605</v>
      </c>
      <c r="P91" s="4">
        <f>0.0046*('Cost Model S-PSH'!C110)^2 - 0.0819*'Cost Model S-PSH'!C110 + 0.5993</f>
        <v>0.23800685536382349</v>
      </c>
      <c r="U91" s="4">
        <v>25</v>
      </c>
      <c r="V91" s="4">
        <v>3200</v>
      </c>
      <c r="W91" s="4">
        <v>3400</v>
      </c>
      <c r="X91" s="4">
        <v>3550</v>
      </c>
      <c r="Y91" s="4">
        <v>3900</v>
      </c>
      <c r="Z91" s="4">
        <v>4600</v>
      </c>
      <c r="AA91" s="4">
        <v>4900</v>
      </c>
      <c r="AB91" s="4">
        <v>5200</v>
      </c>
      <c r="AC91" s="4">
        <v>5600</v>
      </c>
      <c r="AE91" s="4">
        <v>30</v>
      </c>
      <c r="AF91" s="4">
        <v>5600</v>
      </c>
    </row>
    <row r="92" spans="1:35">
      <c r="A92" s="4">
        <v>250</v>
      </c>
      <c r="B92" s="4">
        <v>6.7</v>
      </c>
      <c r="D92" s="4">
        <v>8</v>
      </c>
      <c r="E92" s="4">
        <v>7.6</v>
      </c>
      <c r="F92" s="103">
        <f t="shared" si="1"/>
        <v>0.125</v>
      </c>
      <c r="G92" s="102">
        <f t="shared" si="1"/>
        <v>0.13157894736842105</v>
      </c>
      <c r="H92" s="4">
        <f t="shared" si="0"/>
        <v>7.8003923284559873</v>
      </c>
      <c r="K92" s="4">
        <v>35</v>
      </c>
      <c r="L92" s="4">
        <v>13.9</v>
      </c>
      <c r="M92" s="4">
        <v>3.4</v>
      </c>
      <c r="U92" s="4">
        <v>30</v>
      </c>
      <c r="V92" s="4">
        <v>4400</v>
      </c>
      <c r="W92" s="4">
        <v>4550</v>
      </c>
      <c r="X92" s="4">
        <v>4975</v>
      </c>
      <c r="Y92" s="4">
        <v>5450</v>
      </c>
      <c r="Z92" s="4">
        <v>6500</v>
      </c>
      <c r="AA92" s="4">
        <v>6700</v>
      </c>
      <c r="AB92" s="4">
        <v>7400</v>
      </c>
      <c r="AC92" s="4">
        <v>8100</v>
      </c>
      <c r="AE92" s="4">
        <v>35</v>
      </c>
      <c r="AF92" s="4">
        <v>6600</v>
      </c>
    </row>
    <row r="93" spans="1:35">
      <c r="A93" s="4">
        <v>300</v>
      </c>
      <c r="B93" s="4">
        <v>9.4</v>
      </c>
      <c r="D93" s="4">
        <v>10</v>
      </c>
      <c r="E93" s="4">
        <v>7.5</v>
      </c>
      <c r="F93" s="103">
        <f t="shared" si="1"/>
        <v>0.1</v>
      </c>
      <c r="G93" s="102">
        <f t="shared" si="1"/>
        <v>0.13333333333333333</v>
      </c>
      <c r="H93" s="4">
        <f t="shared" si="0"/>
        <v>7.7906734650387177</v>
      </c>
      <c r="U93" s="4">
        <v>35</v>
      </c>
      <c r="V93" s="4">
        <v>5600</v>
      </c>
      <c r="W93" s="4">
        <v>5900</v>
      </c>
      <c r="X93" s="4">
        <v>6450</v>
      </c>
      <c r="Y93" s="4">
        <v>7500</v>
      </c>
      <c r="Z93" s="4">
        <v>8450</v>
      </c>
      <c r="AA93" s="4">
        <v>8750</v>
      </c>
      <c r="AB93" s="4">
        <v>9350</v>
      </c>
      <c r="AC93" s="4">
        <v>11250</v>
      </c>
    </row>
    <row r="94" spans="1:35">
      <c r="A94" s="4">
        <v>350</v>
      </c>
      <c r="B94" s="4">
        <v>12.5</v>
      </c>
      <c r="H94" s="104" t="s">
        <v>606</v>
      </c>
      <c r="I94" s="101"/>
      <c r="J94" s="19"/>
      <c r="V94" t="s">
        <v>607</v>
      </c>
      <c r="W94" t="s">
        <v>608</v>
      </c>
      <c r="X94" t="s">
        <v>609</v>
      </c>
      <c r="Y94" t="s">
        <v>610</v>
      </c>
      <c r="Z94" t="s">
        <v>611</v>
      </c>
      <c r="AA94" t="s">
        <v>612</v>
      </c>
      <c r="AB94" t="s">
        <v>613</v>
      </c>
      <c r="AC94" t="s">
        <v>614</v>
      </c>
    </row>
    <row r="95" spans="1:35">
      <c r="C95" s="139" t="s">
        <v>615</v>
      </c>
      <c r="E95" s="139" t="s">
        <v>616</v>
      </c>
      <c r="G95" s="159" t="s">
        <v>617</v>
      </c>
      <c r="H95" s="103">
        <f>SLOPE(G87:G93,F87:F93)</f>
        <v>-6.3971129931087774E-3</v>
      </c>
      <c r="I95" s="108" t="s">
        <v>618</v>
      </c>
      <c r="J95" s="108">
        <f xml:space="preserve"> (7.75204*C98)/(C98 - 0.049591)</f>
        <v>12.332421456451803</v>
      </c>
      <c r="V95" s="4">
        <f>3.9286*('Cost Model S-PSH'!C94)^2 + 10.071*('Cost Model S-PSH'!C94) + 481.43</f>
        <v>1035.1921094521401</v>
      </c>
      <c r="W95" s="139">
        <f>4.3214*('Cost Model S-PSH'!C94)^2 - 5.6071*('Cost Model S-PSH'!C94) + 815</f>
        <v>1246.2714617578945</v>
      </c>
      <c r="X95" s="139">
        <f>5.5536*('Cost Model S-PSH'!C94)^2 - 42.339*'Cost Model S-PSH'!C94 + 1165.4</f>
        <v>1345.1338219661388</v>
      </c>
      <c r="Y95" s="139">
        <f>7.6786*('Cost Model S-PSH'!C94)^2 - 103.54*'Cost Model S-PSH'!C94 + 1690.7</f>
        <v>1459.5108050353547</v>
      </c>
      <c r="Z95" s="139">
        <f>6.6786*('Cost Model S-PSH'!C94)^2 - 17.393*'Cost Model S-PSH'!C94 + 915</f>
        <v>1488.485941001072</v>
      </c>
      <c r="AA95" s="139">
        <f>6.25*('Cost Model S-PSH'!C94)^2 + 7.8929*'Cost Model S-PSH'!C94 + 819.29</f>
        <v>1613.6153605415382</v>
      </c>
      <c r="AB95" s="139">
        <f>6.7143*('Cost Model S-PSH'!C94)^2 + 13.857*'Cost Model S-PSH'!C94 + 732.86</f>
        <v>1643.5196910110374</v>
      </c>
      <c r="AC95" s="139">
        <f>11.107*('Cost Model S-PSH'!C94)^2 - 120.11*'Cost Model S-PSH'!C94 + 1777.9</f>
        <v>1759.6486980895399</v>
      </c>
    </row>
    <row r="96" spans="1:35">
      <c r="B96" s="159" t="s">
        <v>619</v>
      </c>
      <c r="C96" s="139">
        <f>(0.00009*('Cost Model S-PSH'!C16)^2 + 0.0039*'Cost Model S-PSH'!C16 + 0.0707)*1000</f>
        <v>4450.7000000000007</v>
      </c>
      <c r="D96" s="159" t="s">
        <v>620</v>
      </c>
      <c r="E96" s="139">
        <f>(0.00009*('Cost Model S-PSH'!C18)^2 + 0.0039*'Cost Model S-PSH'!C18 + 0.0707)*1000</f>
        <v>3334.7</v>
      </c>
      <c r="G96" s="159" t="s">
        <v>621</v>
      </c>
      <c r="H96" s="160">
        <f>H95*H98</f>
        <v>-4.9590669370585025E-2</v>
      </c>
      <c r="I96" s="108" t="s">
        <v>622</v>
      </c>
      <c r="J96" s="108">
        <f xml:space="preserve"> (7.75204*E98)/(E98 - 0.049591)</f>
        <v>15.372087881863232</v>
      </c>
    </row>
    <row r="97" spans="2:8">
      <c r="B97" s="159" t="s">
        <v>623</v>
      </c>
      <c r="C97" s="4">
        <f>C96*'Cost Model S-PSH'!C17</f>
        <v>133521.00000000003</v>
      </c>
      <c r="D97" s="159" t="s">
        <v>624</v>
      </c>
      <c r="E97" s="4">
        <f>E96*'Cost Model S-PSH'!C19</f>
        <v>100041</v>
      </c>
      <c r="G97" s="159" t="s">
        <v>625</v>
      </c>
      <c r="H97" s="103">
        <f>INTERCEPT(G87:G93,F87:F93)</f>
        <v>0.128998319125397</v>
      </c>
    </row>
    <row r="98" spans="2:8">
      <c r="B98" s="159" t="s">
        <v>626</v>
      </c>
      <c r="C98" s="4">
        <f>C97/(10^6)</f>
        <v>0.13352100000000003</v>
      </c>
      <c r="D98" s="159" t="s">
        <v>627</v>
      </c>
      <c r="E98" s="4">
        <f>E97/(10^6)</f>
        <v>0.100041</v>
      </c>
      <c r="G98" s="159" t="s">
        <v>628</v>
      </c>
      <c r="H98" s="103">
        <f>1/H97</f>
        <v>7.7520389938408236</v>
      </c>
    </row>
    <row r="121" spans="1:26">
      <c r="U121" s="139" t="s">
        <v>629</v>
      </c>
      <c r="Y121" s="139" t="s">
        <v>630</v>
      </c>
    </row>
    <row r="122" spans="1:26">
      <c r="A122" s="5" t="s">
        <v>631</v>
      </c>
      <c r="K122" s="5" t="s">
        <v>632</v>
      </c>
      <c r="U122" s="139" t="s">
        <v>633</v>
      </c>
      <c r="V122" s="139" t="s">
        <v>634</v>
      </c>
      <c r="Y122" s="139" t="s">
        <v>633</v>
      </c>
      <c r="Z122" s="139" t="s">
        <v>634</v>
      </c>
    </row>
    <row r="123" spans="1:26">
      <c r="A123" s="4" t="s">
        <v>635</v>
      </c>
      <c r="B123" s="4" t="s">
        <v>636</v>
      </c>
      <c r="C123" s="4" t="s">
        <v>637</v>
      </c>
      <c r="D123" s="4" t="s">
        <v>638</v>
      </c>
      <c r="E123" s="4" t="s">
        <v>639</v>
      </c>
      <c r="K123" s="4" t="s">
        <v>635</v>
      </c>
      <c r="L123" s="4" t="s">
        <v>640</v>
      </c>
      <c r="M123" s="4" t="s">
        <v>636</v>
      </c>
      <c r="N123" s="4" t="s">
        <v>641</v>
      </c>
      <c r="O123" s="4" t="s">
        <v>637</v>
      </c>
      <c r="P123" s="4" t="s">
        <v>638</v>
      </c>
      <c r="U123" s="4">
        <v>300</v>
      </c>
      <c r="V123" s="4">
        <v>18</v>
      </c>
      <c r="Y123" s="4">
        <v>300</v>
      </c>
      <c r="Z123" s="4">
        <v>8</v>
      </c>
    </row>
    <row r="124" spans="1:26">
      <c r="A124" s="4">
        <v>5</v>
      </c>
      <c r="K124" s="4">
        <v>10</v>
      </c>
      <c r="L124" s="4">
        <v>1.55</v>
      </c>
      <c r="M124" s="4">
        <v>2.2000000000000002</v>
      </c>
      <c r="N124" s="4">
        <v>3.2</v>
      </c>
      <c r="O124" s="4">
        <v>4.5</v>
      </c>
      <c r="P124" s="4">
        <v>6.65</v>
      </c>
      <c r="U124" s="4">
        <v>500</v>
      </c>
      <c r="V124" s="4">
        <v>20</v>
      </c>
      <c r="Y124" s="4">
        <v>500</v>
      </c>
      <c r="Z124" s="4">
        <v>10</v>
      </c>
    </row>
    <row r="125" spans="1:26">
      <c r="A125" s="4">
        <v>10</v>
      </c>
      <c r="B125" s="4">
        <v>2200</v>
      </c>
      <c r="C125" s="4">
        <v>2400</v>
      </c>
      <c r="D125" s="4">
        <v>3000</v>
      </c>
      <c r="E125" s="4">
        <v>3800</v>
      </c>
      <c r="K125" s="4">
        <v>15</v>
      </c>
      <c r="L125" s="4">
        <v>3.3</v>
      </c>
      <c r="M125" s="4">
        <v>5</v>
      </c>
      <c r="N125" s="4">
        <v>7</v>
      </c>
      <c r="O125" s="4">
        <v>10</v>
      </c>
      <c r="P125" s="4">
        <v>14.75</v>
      </c>
      <c r="U125" s="4">
        <v>1000</v>
      </c>
      <c r="V125" s="4">
        <v>25</v>
      </c>
      <c r="Y125" s="4">
        <v>1000</v>
      </c>
      <c r="Z125" s="4">
        <v>13</v>
      </c>
    </row>
    <row r="126" spans="1:26">
      <c r="A126" s="4">
        <v>15</v>
      </c>
      <c r="B126" s="4">
        <v>4100</v>
      </c>
      <c r="C126" s="4">
        <v>4600</v>
      </c>
      <c r="D126" s="4">
        <v>6000</v>
      </c>
      <c r="E126" s="4">
        <v>7600</v>
      </c>
      <c r="K126" s="4">
        <v>20</v>
      </c>
      <c r="L126" s="4">
        <v>5.6</v>
      </c>
      <c r="M126" s="4">
        <v>8.6999999999999993</v>
      </c>
      <c r="N126" s="4">
        <v>12.3</v>
      </c>
      <c r="U126" s="4">
        <v>1500</v>
      </c>
      <c r="V126" s="4">
        <v>28</v>
      </c>
      <c r="Y126" s="4">
        <v>1500</v>
      </c>
      <c r="Z126" s="4">
        <v>15</v>
      </c>
    </row>
    <row r="127" spans="1:26">
      <c r="A127" s="4">
        <v>20</v>
      </c>
      <c r="B127" s="4">
        <v>6900</v>
      </c>
      <c r="C127" s="4">
        <v>7800</v>
      </c>
      <c r="D127" s="4">
        <v>10300</v>
      </c>
      <c r="E127" s="4">
        <v>13250</v>
      </c>
      <c r="K127" s="4">
        <v>25</v>
      </c>
      <c r="L127" s="4">
        <v>8.6</v>
      </c>
      <c r="M127" s="4">
        <v>13.7</v>
      </c>
      <c r="U127" s="4">
        <v>2200</v>
      </c>
      <c r="V127" s="4">
        <v>32</v>
      </c>
      <c r="Y127" s="4">
        <v>2200</v>
      </c>
      <c r="Z127" s="4">
        <v>17</v>
      </c>
    </row>
    <row r="128" spans="1:26">
      <c r="A128" s="4">
        <v>25</v>
      </c>
      <c r="B128" s="4">
        <v>10000</v>
      </c>
      <c r="C128" s="4">
        <v>11700</v>
      </c>
      <c r="D128" s="4">
        <v>15800</v>
      </c>
      <c r="K128" s="4">
        <v>30</v>
      </c>
      <c r="L128" s="4">
        <v>12.2</v>
      </c>
    </row>
    <row r="129" spans="1:27">
      <c r="A129" s="4">
        <v>30</v>
      </c>
      <c r="K129" s="4">
        <v>35</v>
      </c>
      <c r="L129" s="4">
        <v>16.5</v>
      </c>
      <c r="V129" s="161" t="s">
        <v>642</v>
      </c>
      <c r="Z129" s="161"/>
      <c r="AA129" s="139" t="s">
        <v>643</v>
      </c>
    </row>
    <row r="130" spans="1:27">
      <c r="B130" t="s">
        <v>644</v>
      </c>
      <c r="C130" t="s">
        <v>645</v>
      </c>
      <c r="D130" t="s">
        <v>646</v>
      </c>
      <c r="E130" t="s">
        <v>647</v>
      </c>
      <c r="L130" t="s">
        <v>648</v>
      </c>
      <c r="M130" t="s">
        <v>649</v>
      </c>
      <c r="N130" t="s">
        <v>650</v>
      </c>
      <c r="O130" t="s">
        <v>651</v>
      </c>
      <c r="P130" t="s">
        <v>652</v>
      </c>
      <c r="V130" s="4">
        <f>0.0074*'Cost Model S-PSH'!C14 + 16.512</f>
        <v>23.941600000000001</v>
      </c>
      <c r="AA130" s="139">
        <f>0.0046*('Cost Model S-PSH'!C14-'Cost Model S-PSH'!C88)+ 7.516</f>
        <v>8.9015199999999997</v>
      </c>
    </row>
    <row r="131" spans="1:27">
      <c r="B131">
        <f>47.162*('Cost Model S-PSH'!C110)^1.6615</f>
        <v>2071.5383536835543</v>
      </c>
      <c r="C131">
        <f>43.711*('Cost Model S-PSH'!C110)^1.7314</f>
        <v>2251.1302038970898</v>
      </c>
      <c r="D131">
        <f>45.454*('Cost Model S-PSH'!C110)^1.8126</f>
        <v>2816.1983103691109</v>
      </c>
      <c r="E131">
        <f>60.182*('Cost Model S-PSH'!C110)^1.7959</f>
        <v>3589.6052889820648</v>
      </c>
      <c r="L131">
        <f>0.02*('Cost Model S-PSH'!C110)^1.885*1000</f>
        <v>1461.1740255345874</v>
      </c>
      <c r="M131">
        <f>0.0226*('Cost Model S-PSH'!C110)^1.9901*1000</f>
        <v>2097.4480873665966</v>
      </c>
      <c r="N131">
        <f>0.0365*('Cost Model S-PSH'!C110)^1.9417*1000</f>
        <v>3034.0537719262343</v>
      </c>
      <c r="O131">
        <f>0.0483*('Cost Model S-PSH'!C110)^1.9694*1000</f>
        <v>4276.26021721284</v>
      </c>
      <c r="P131">
        <f>0.0721*('Cost Model S-PSH'!C110)^1.9647*1000</f>
        <v>6315.4665250341204</v>
      </c>
    </row>
    <row r="161" spans="1:35">
      <c r="A161" s="5" t="s">
        <v>654</v>
      </c>
      <c r="K161" s="5" t="s">
        <v>655</v>
      </c>
      <c r="U161" s="5" t="s">
        <v>656</v>
      </c>
      <c r="AE161" s="5" t="s">
        <v>657</v>
      </c>
    </row>
    <row r="162" spans="1:35">
      <c r="A162" s="4" t="s">
        <v>503</v>
      </c>
      <c r="B162" s="4" t="s">
        <v>658</v>
      </c>
      <c r="C162" s="4" t="s">
        <v>659</v>
      </c>
      <c r="D162" s="4" t="s">
        <v>660</v>
      </c>
      <c r="E162" s="4" t="s">
        <v>661</v>
      </c>
      <c r="K162" s="4" t="s">
        <v>503</v>
      </c>
      <c r="L162" s="4" t="s">
        <v>662</v>
      </c>
      <c r="M162" s="4" t="s">
        <v>663</v>
      </c>
      <c r="N162" s="4" t="s">
        <v>664</v>
      </c>
      <c r="O162" s="4" t="s">
        <v>665</v>
      </c>
      <c r="U162" s="4" t="s">
        <v>503</v>
      </c>
      <c r="V162" s="4" t="s">
        <v>666</v>
      </c>
      <c r="W162" s="4" t="s">
        <v>667</v>
      </c>
      <c r="X162" s="4" t="s">
        <v>668</v>
      </c>
      <c r="Y162" s="4" t="s">
        <v>669</v>
      </c>
      <c r="AE162" s="4" t="s">
        <v>503</v>
      </c>
      <c r="AF162" s="4" t="s">
        <v>670</v>
      </c>
      <c r="AG162" s="4" t="s">
        <v>671</v>
      </c>
      <c r="AH162" s="4" t="s">
        <v>672</v>
      </c>
      <c r="AI162" s="4" t="s">
        <v>673</v>
      </c>
    </row>
    <row r="163" spans="1:35">
      <c r="A163" s="4">
        <v>350</v>
      </c>
      <c r="B163" s="4">
        <v>242</v>
      </c>
      <c r="C163" s="4">
        <v>229</v>
      </c>
      <c r="D163" s="4">
        <v>223</v>
      </c>
      <c r="E163" s="4">
        <v>216</v>
      </c>
      <c r="K163" s="4">
        <v>350</v>
      </c>
      <c r="L163" s="4">
        <v>203</v>
      </c>
      <c r="M163" s="4">
        <v>194</v>
      </c>
      <c r="N163" s="4">
        <v>188</v>
      </c>
      <c r="O163" s="4">
        <v>184</v>
      </c>
      <c r="U163" s="4">
        <v>350</v>
      </c>
      <c r="V163" s="4">
        <v>163</v>
      </c>
      <c r="W163" s="4">
        <v>155</v>
      </c>
      <c r="X163" s="4">
        <v>151</v>
      </c>
      <c r="Y163" s="4">
        <v>146</v>
      </c>
      <c r="AE163" s="4">
        <v>350</v>
      </c>
      <c r="AF163" s="4">
        <v>130</v>
      </c>
      <c r="AG163" s="4">
        <v>124</v>
      </c>
      <c r="AH163" s="4">
        <v>121</v>
      </c>
      <c r="AI163" s="4">
        <v>117</v>
      </c>
    </row>
    <row r="164" spans="1:35">
      <c r="A164" s="4">
        <v>500</v>
      </c>
      <c r="B164" s="4">
        <v>235</v>
      </c>
      <c r="C164" s="4">
        <v>224</v>
      </c>
      <c r="D164" s="4">
        <v>217</v>
      </c>
      <c r="E164" s="4">
        <v>210</v>
      </c>
      <c r="K164" s="4">
        <v>500</v>
      </c>
      <c r="L164" s="4">
        <v>194</v>
      </c>
      <c r="M164" s="4">
        <v>185</v>
      </c>
      <c r="N164" s="4">
        <v>180</v>
      </c>
      <c r="O164" s="4">
        <v>176</v>
      </c>
      <c r="U164" s="4">
        <v>500</v>
      </c>
      <c r="V164" s="4">
        <v>153</v>
      </c>
      <c r="W164" s="4">
        <v>145</v>
      </c>
      <c r="X164" s="4">
        <v>142</v>
      </c>
      <c r="Y164" s="4">
        <v>137</v>
      </c>
      <c r="AE164" s="4">
        <v>500</v>
      </c>
      <c r="AF164" s="4">
        <v>124</v>
      </c>
      <c r="AG164" s="4">
        <v>116</v>
      </c>
      <c r="AH164" s="4">
        <v>114</v>
      </c>
      <c r="AI164" s="4">
        <v>111</v>
      </c>
    </row>
    <row r="165" spans="1:35">
      <c r="A165" s="4">
        <v>1000</v>
      </c>
      <c r="B165" s="4">
        <v>224</v>
      </c>
      <c r="C165" s="4">
        <v>212</v>
      </c>
      <c r="D165" s="4">
        <v>205</v>
      </c>
      <c r="E165" s="4">
        <v>200</v>
      </c>
      <c r="K165" s="4">
        <v>1000</v>
      </c>
      <c r="L165" s="4">
        <v>183</v>
      </c>
      <c r="M165" s="4">
        <v>174</v>
      </c>
      <c r="N165" s="4">
        <v>169</v>
      </c>
      <c r="O165" s="4">
        <v>165</v>
      </c>
      <c r="U165" s="4">
        <v>1000</v>
      </c>
      <c r="V165" s="4">
        <v>139</v>
      </c>
      <c r="W165" s="4">
        <v>134</v>
      </c>
      <c r="X165" s="4">
        <v>130</v>
      </c>
      <c r="Y165" s="4">
        <v>126</v>
      </c>
      <c r="AE165" s="4">
        <v>1000</v>
      </c>
      <c r="AF165" s="4">
        <v>112</v>
      </c>
      <c r="AG165" s="4">
        <v>107</v>
      </c>
      <c r="AH165" s="4">
        <v>105</v>
      </c>
      <c r="AI165" s="4">
        <v>102</v>
      </c>
    </row>
    <row r="166" spans="1:35">
      <c r="A166" s="4">
        <v>1500</v>
      </c>
      <c r="B166" s="4">
        <v>222</v>
      </c>
      <c r="C166" s="4">
        <v>210</v>
      </c>
      <c r="D166" s="4">
        <v>204</v>
      </c>
      <c r="E166" s="4">
        <v>200</v>
      </c>
      <c r="K166" s="4">
        <v>1500</v>
      </c>
      <c r="L166" s="4">
        <v>180</v>
      </c>
      <c r="M166" s="4">
        <v>173</v>
      </c>
      <c r="N166" s="4">
        <v>168</v>
      </c>
      <c r="O166" s="4">
        <v>164</v>
      </c>
      <c r="U166" s="4">
        <v>1500</v>
      </c>
      <c r="V166" s="4">
        <v>138.5</v>
      </c>
      <c r="W166" s="4">
        <v>133.5</v>
      </c>
      <c r="X166" s="4">
        <v>129</v>
      </c>
      <c r="Y166" s="4">
        <v>126</v>
      </c>
      <c r="AE166" s="4">
        <v>1500</v>
      </c>
      <c r="AF166" s="4">
        <v>114</v>
      </c>
      <c r="AG166" s="4">
        <v>107.5</v>
      </c>
      <c r="AH166" s="4">
        <v>105.5</v>
      </c>
      <c r="AI166" s="4">
        <v>103</v>
      </c>
    </row>
    <row r="167" spans="1:35">
      <c r="A167" s="4">
        <v>2000</v>
      </c>
      <c r="B167" s="4">
        <v>237</v>
      </c>
      <c r="C167" s="4">
        <v>226</v>
      </c>
      <c r="D167" s="4">
        <v>220</v>
      </c>
      <c r="E167" s="4">
        <v>215</v>
      </c>
      <c r="K167" s="4">
        <v>2000</v>
      </c>
      <c r="L167" s="4">
        <v>185</v>
      </c>
      <c r="M167" s="4">
        <v>176</v>
      </c>
      <c r="N167" s="4">
        <v>173</v>
      </c>
      <c r="O167" s="4">
        <v>168</v>
      </c>
      <c r="U167" s="4">
        <v>2000</v>
      </c>
      <c r="V167" s="4">
        <v>143</v>
      </c>
      <c r="W167" s="4">
        <v>135.5</v>
      </c>
      <c r="X167" s="4">
        <v>134</v>
      </c>
      <c r="Y167" s="4">
        <v>130</v>
      </c>
      <c r="AE167" s="4">
        <v>2000</v>
      </c>
      <c r="AF167" s="4">
        <v>115</v>
      </c>
      <c r="AG167" s="4">
        <v>110</v>
      </c>
      <c r="AH167" s="4">
        <v>107</v>
      </c>
      <c r="AI167" s="4">
        <v>104.5</v>
      </c>
    </row>
    <row r="168" spans="1:35">
      <c r="A168" s="4">
        <v>2250</v>
      </c>
      <c r="B168" s="4">
        <v>245</v>
      </c>
      <c r="C168" s="4">
        <v>234</v>
      </c>
      <c r="D168" s="4">
        <v>228</v>
      </c>
      <c r="E168" s="4">
        <v>223</v>
      </c>
      <c r="K168" s="4">
        <v>2250</v>
      </c>
      <c r="L168" s="4">
        <v>187</v>
      </c>
      <c r="M168" s="4">
        <v>179</v>
      </c>
      <c r="N168" s="4">
        <v>175</v>
      </c>
      <c r="O168" s="4">
        <v>171</v>
      </c>
      <c r="U168" s="4">
        <v>2250</v>
      </c>
      <c r="V168" s="4">
        <v>145</v>
      </c>
      <c r="W168" s="4">
        <v>137</v>
      </c>
      <c r="X168" s="4">
        <v>135</v>
      </c>
      <c r="Y168" s="4">
        <v>132</v>
      </c>
      <c r="AE168" s="4">
        <v>2250</v>
      </c>
      <c r="AF168" s="4">
        <v>115.5</v>
      </c>
      <c r="AG168" s="4">
        <v>110.5</v>
      </c>
      <c r="AH168" s="4">
        <v>107.5</v>
      </c>
      <c r="AI168" s="4">
        <v>105.5</v>
      </c>
    </row>
    <row r="170" spans="1:35">
      <c r="B170" t="s">
        <v>674</v>
      </c>
      <c r="C170" t="s">
        <v>675</v>
      </c>
      <c r="D170" t="s">
        <v>676</v>
      </c>
      <c r="E170" t="s">
        <v>677</v>
      </c>
      <c r="L170" t="s">
        <v>678</v>
      </c>
      <c r="M170" t="s">
        <v>679</v>
      </c>
      <c r="N170" t="s">
        <v>680</v>
      </c>
      <c r="O170" t="s">
        <v>681</v>
      </c>
      <c r="V170" t="s">
        <v>682</v>
      </c>
      <c r="W170" t="s">
        <v>683</v>
      </c>
      <c r="X170" t="s">
        <v>684</v>
      </c>
      <c r="Y170" t="s">
        <v>685</v>
      </c>
      <c r="AF170" t="s">
        <v>686</v>
      </c>
      <c r="AG170" t="s">
        <v>687</v>
      </c>
      <c r="AH170" t="s">
        <v>688</v>
      </c>
      <c r="AI170" t="s">
        <v>689</v>
      </c>
    </row>
    <row r="171" spans="1:35">
      <c r="B171">
        <f>0.00002*('Cost Model S-PSH'!C89)^2 - 0.0609*'Cost Model S-PSH'!C89 + 259.97</f>
        <v>222.56377120000002</v>
      </c>
      <c r="C171">
        <f>0.00002*('Cost Model S-PSH'!C89)^2 - 0.0609*('Cost Model S-PSH'!C89) + 247.79</f>
        <v>210.38377119999998</v>
      </c>
      <c r="D171">
        <f>0.00002*('Cost Model S-PSH'!C89)^2 - 0.0617*('Cost Model S-PSH'!C89) + 241.53</f>
        <v>203.4410512</v>
      </c>
      <c r="E171">
        <f>0.00002*('Cost Model S-PSH'!C89)^2 - 0.0555*('Cost Model S-PSH'!C89) + 232.3</f>
        <v>199.50213120000001</v>
      </c>
      <c r="L171">
        <f>0.00002*('Cost Model S-PSH'!C89)^2 - 0.0485*('Cost Model S-PSH'!C89) + 216.18</f>
        <v>189.35593120000001</v>
      </c>
      <c r="M171">
        <f>0.00002*('Cost Model S-PSH'!C89)^2 - 0.0462*('Cost Model S-PSH'!C89) + 206.27</f>
        <v>181.40875120000001</v>
      </c>
      <c r="N171">
        <f>0.00002*('Cost Model S-PSH'!C89)^2 - 0.0453*('Cost Model S-PSH'!C89) + 200.29</f>
        <v>176.19681119999998</v>
      </c>
      <c r="O171">
        <f>0.00002*('Cost Model S-PSH'!C89)^2 - 0.0456*('Cost Model S-PSH'!C89) + 196.43</f>
        <v>172.08079120000002</v>
      </c>
      <c r="V171">
        <f>0.00002*('Cost Model S-PSH'!C89)^2 - 0.0544*('Cost Model S-PSH'!C89) + 177.56</f>
        <v>145.70087119999999</v>
      </c>
      <c r="W171">
        <f>0.00001*('Cost Model S-PSH'!C89)^2 - 0.0448*('Cost Model S-PSH'!C89) + 166.28</f>
        <v>135.33059560000001</v>
      </c>
      <c r="X171">
        <f>0.00002*('Cost Model S-PSH'!C89)^2 - 0.048*('Cost Model S-PSH'!C89) + 163.78</f>
        <v>137.38263119999999</v>
      </c>
      <c r="Y171">
        <f>0.00002*('Cost Model S-PSH'!C89)^2 - 0.0452*('Cost Model S-PSH'!C89) + 157.75</f>
        <v>133.7421512</v>
      </c>
      <c r="AF171">
        <f>0.00001*('Cost Model S-PSH'!C89)^2 - 0.0365*('Cost Model S-PSH'!C89) + 139.89</f>
        <v>116.02381559999999</v>
      </c>
      <c r="AG171">
        <f>0.00001*('Cost Model S-PSH'!C89)^2 - 0.0355*('Cost Model S-PSH'!C89) + 132.8</f>
        <v>109.78721560000001</v>
      </c>
      <c r="AH171">
        <f>0.00001*('Cost Model S-PSH'!C89)^2 - 0.033*('Cost Model S-PSH'!C89) + 129.39</f>
        <v>108.51071559999998</v>
      </c>
      <c r="AI171">
        <f>0.00001*('Cost Model S-PSH'!C89)^2 - 0.0316*('Cost Model S-PSH'!C89) + 125.28</f>
        <v>105.5954756</v>
      </c>
    </row>
    <row r="203" spans="1:35">
      <c r="A203" s="5" t="s">
        <v>690</v>
      </c>
      <c r="K203" s="5" t="s">
        <v>691</v>
      </c>
      <c r="U203" s="5" t="s">
        <v>692</v>
      </c>
      <c r="AE203" s="5" t="s">
        <v>693</v>
      </c>
    </row>
    <row r="204" spans="1:35">
      <c r="A204" s="4" t="s">
        <v>503</v>
      </c>
      <c r="B204" s="4" t="s">
        <v>658</v>
      </c>
      <c r="C204" s="4" t="s">
        <v>659</v>
      </c>
      <c r="D204" s="4" t="s">
        <v>660</v>
      </c>
      <c r="E204" s="4" t="s">
        <v>661</v>
      </c>
      <c r="K204" s="4" t="s">
        <v>503</v>
      </c>
      <c r="L204" s="4" t="s">
        <v>662</v>
      </c>
      <c r="M204" s="4" t="s">
        <v>663</v>
      </c>
      <c r="N204" s="4" t="s">
        <v>664</v>
      </c>
      <c r="O204" s="4" t="s">
        <v>665</v>
      </c>
      <c r="U204" s="4" t="s">
        <v>503</v>
      </c>
      <c r="V204" s="4" t="s">
        <v>666</v>
      </c>
      <c r="W204" s="4" t="s">
        <v>667</v>
      </c>
      <c r="X204" s="4" t="s">
        <v>668</v>
      </c>
      <c r="Y204" s="4" t="s">
        <v>669</v>
      </c>
      <c r="AE204" s="4" t="s">
        <v>503</v>
      </c>
      <c r="AF204" s="4" t="s">
        <v>670</v>
      </c>
      <c r="AG204" s="4" t="s">
        <v>671</v>
      </c>
      <c r="AH204" s="4" t="s">
        <v>672</v>
      </c>
      <c r="AI204" s="4" t="s">
        <v>673</v>
      </c>
    </row>
    <row r="205" spans="1:35">
      <c r="A205" s="4">
        <v>350</v>
      </c>
      <c r="B205" s="4">
        <v>237</v>
      </c>
      <c r="C205" s="4">
        <v>225</v>
      </c>
      <c r="D205" s="4">
        <v>219</v>
      </c>
      <c r="E205" s="4">
        <v>214</v>
      </c>
      <c r="K205" s="4">
        <v>350</v>
      </c>
      <c r="L205" s="4">
        <v>200</v>
      </c>
      <c r="M205" s="4">
        <v>190</v>
      </c>
      <c r="N205" s="4">
        <v>185</v>
      </c>
      <c r="O205" s="4">
        <v>183</v>
      </c>
      <c r="U205" s="4">
        <v>350</v>
      </c>
      <c r="V205" s="4">
        <v>157</v>
      </c>
      <c r="W205" s="4">
        <v>151</v>
      </c>
      <c r="X205" s="4">
        <v>146</v>
      </c>
      <c r="Y205" s="4">
        <v>144</v>
      </c>
      <c r="AE205" s="4">
        <v>350</v>
      </c>
      <c r="AF205" s="4">
        <v>133</v>
      </c>
      <c r="AG205" s="4">
        <v>126</v>
      </c>
      <c r="AH205" s="4">
        <v>124</v>
      </c>
      <c r="AI205" s="4">
        <v>120</v>
      </c>
    </row>
    <row r="206" spans="1:35">
      <c r="A206" s="4">
        <v>500</v>
      </c>
      <c r="B206" s="4">
        <v>236.5</v>
      </c>
      <c r="C206" s="4">
        <v>224</v>
      </c>
      <c r="D206" s="4">
        <v>217</v>
      </c>
      <c r="E206" s="4">
        <v>213</v>
      </c>
      <c r="K206" s="4">
        <v>500</v>
      </c>
      <c r="L206" s="4">
        <v>189</v>
      </c>
      <c r="M206" s="4">
        <v>179.5</v>
      </c>
      <c r="N206" s="4">
        <v>176</v>
      </c>
      <c r="O206" s="4">
        <v>171.5</v>
      </c>
      <c r="U206" s="4">
        <v>500</v>
      </c>
      <c r="V206" s="4">
        <v>151</v>
      </c>
      <c r="W206" s="4">
        <v>144.5</v>
      </c>
      <c r="X206" s="4">
        <v>142</v>
      </c>
      <c r="Y206" s="4">
        <v>136</v>
      </c>
      <c r="AE206" s="4">
        <v>500</v>
      </c>
      <c r="AF206" s="4">
        <v>124</v>
      </c>
      <c r="AG206" s="4">
        <v>117</v>
      </c>
      <c r="AH206" s="4">
        <v>115</v>
      </c>
      <c r="AI206" s="4">
        <v>114</v>
      </c>
    </row>
    <row r="207" spans="1:35">
      <c r="A207" s="4">
        <v>1000</v>
      </c>
      <c r="B207" s="4">
        <v>234</v>
      </c>
      <c r="C207" s="4">
        <v>222</v>
      </c>
      <c r="D207" s="4">
        <v>216</v>
      </c>
      <c r="E207" s="4">
        <v>210</v>
      </c>
      <c r="K207" s="4">
        <v>1000</v>
      </c>
      <c r="L207" s="4">
        <v>180</v>
      </c>
      <c r="M207" s="4">
        <v>170.5</v>
      </c>
      <c r="N207" s="4">
        <v>167</v>
      </c>
      <c r="O207" s="4">
        <v>162</v>
      </c>
      <c r="U207" s="4">
        <v>1000</v>
      </c>
      <c r="V207" s="4">
        <v>144</v>
      </c>
      <c r="W207" s="4">
        <v>137</v>
      </c>
      <c r="X207" s="4">
        <v>134</v>
      </c>
      <c r="Y207" s="4">
        <v>130.5</v>
      </c>
      <c r="AE207" s="4">
        <v>1000</v>
      </c>
      <c r="AF207" s="4">
        <v>111.5</v>
      </c>
      <c r="AG207" s="4">
        <v>105.5</v>
      </c>
      <c r="AH207" s="4">
        <v>104</v>
      </c>
      <c r="AI207" s="4">
        <v>101</v>
      </c>
    </row>
    <row r="208" spans="1:35">
      <c r="A208" s="4">
        <v>1500</v>
      </c>
      <c r="B208" s="4">
        <v>234.5</v>
      </c>
      <c r="C208" s="4">
        <v>223</v>
      </c>
      <c r="D208" s="4">
        <v>216.5</v>
      </c>
      <c r="E208" s="4">
        <v>212</v>
      </c>
      <c r="K208" s="4">
        <v>1500</v>
      </c>
      <c r="L208" s="4">
        <v>181.5</v>
      </c>
      <c r="M208" s="4">
        <v>174</v>
      </c>
      <c r="N208" s="4">
        <v>168</v>
      </c>
      <c r="O208" s="4">
        <v>164</v>
      </c>
      <c r="U208" s="4">
        <v>1500</v>
      </c>
      <c r="V208" s="4">
        <v>144</v>
      </c>
      <c r="W208" s="4">
        <v>137.5</v>
      </c>
      <c r="X208" s="4">
        <v>134</v>
      </c>
      <c r="Y208" s="4">
        <v>131</v>
      </c>
      <c r="AE208" s="4">
        <v>1500</v>
      </c>
      <c r="AF208" s="4">
        <v>110</v>
      </c>
      <c r="AG208" s="4">
        <v>105</v>
      </c>
      <c r="AH208" s="4">
        <v>104</v>
      </c>
      <c r="AI208" s="4">
        <v>100</v>
      </c>
    </row>
    <row r="209" spans="1:35">
      <c r="A209" s="4">
        <v>2000</v>
      </c>
      <c r="B209" s="4">
        <v>238.5</v>
      </c>
      <c r="C209" s="4">
        <v>228</v>
      </c>
      <c r="D209" s="4">
        <v>224</v>
      </c>
      <c r="E209" s="4">
        <v>217</v>
      </c>
      <c r="K209" s="4">
        <v>2000</v>
      </c>
      <c r="L209" s="4">
        <v>187.5</v>
      </c>
      <c r="M209" s="4">
        <v>180</v>
      </c>
      <c r="N209" s="4">
        <v>176</v>
      </c>
      <c r="O209" s="4">
        <v>173</v>
      </c>
      <c r="U209" s="4">
        <v>2000</v>
      </c>
      <c r="V209" s="4">
        <v>146</v>
      </c>
      <c r="W209" s="4">
        <v>143</v>
      </c>
      <c r="X209" s="4">
        <v>137</v>
      </c>
      <c r="Y209" s="4">
        <v>135</v>
      </c>
      <c r="AE209" s="4">
        <v>2000</v>
      </c>
      <c r="AF209" s="4">
        <v>110.5</v>
      </c>
      <c r="AG209" s="4">
        <v>105</v>
      </c>
      <c r="AH209" s="4">
        <v>104</v>
      </c>
      <c r="AI209" s="4">
        <v>100.5</v>
      </c>
    </row>
    <row r="210" spans="1:35">
      <c r="A210" s="4">
        <v>2250</v>
      </c>
      <c r="B210" s="4">
        <v>245</v>
      </c>
      <c r="C210" s="4">
        <v>234</v>
      </c>
      <c r="D210" s="4">
        <v>228</v>
      </c>
      <c r="E210" s="4">
        <v>222</v>
      </c>
      <c r="K210" s="4">
        <v>2250</v>
      </c>
      <c r="L210" s="4">
        <v>194</v>
      </c>
      <c r="M210" s="4">
        <v>185</v>
      </c>
      <c r="N210" s="4">
        <v>180</v>
      </c>
      <c r="O210" s="4">
        <v>176</v>
      </c>
      <c r="U210" s="4">
        <v>2250</v>
      </c>
      <c r="V210" s="4">
        <v>150</v>
      </c>
      <c r="W210" s="4">
        <v>144.5</v>
      </c>
      <c r="X210" s="4">
        <v>140.5</v>
      </c>
      <c r="Y210" s="4">
        <v>137</v>
      </c>
      <c r="AE210" s="4">
        <v>2250</v>
      </c>
      <c r="AF210" s="4">
        <v>111</v>
      </c>
      <c r="AG210" s="4">
        <v>105.3</v>
      </c>
      <c r="AH210" s="4">
        <v>104</v>
      </c>
      <c r="AI210" s="4">
        <v>101</v>
      </c>
    </row>
    <row r="212" spans="1:35">
      <c r="B212" t="s">
        <v>694</v>
      </c>
      <c r="C212" t="s">
        <v>695</v>
      </c>
      <c r="D212" t="s">
        <v>696</v>
      </c>
      <c r="E212" t="s">
        <v>697</v>
      </c>
      <c r="L212" t="s">
        <v>698</v>
      </c>
      <c r="M212" t="s">
        <v>699</v>
      </c>
      <c r="N212" t="s">
        <v>700</v>
      </c>
      <c r="O212" t="s">
        <v>701</v>
      </c>
      <c r="V212" t="s">
        <v>702</v>
      </c>
      <c r="W212" t="s">
        <v>703</v>
      </c>
      <c r="X212" t="s">
        <v>704</v>
      </c>
      <c r="Y212" t="s">
        <v>705</v>
      </c>
      <c r="AF212" t="s">
        <v>706</v>
      </c>
      <c r="AG212" t="s">
        <v>707</v>
      </c>
      <c r="AH212" t="s">
        <v>708</v>
      </c>
      <c r="AI212" t="s">
        <v>709</v>
      </c>
    </row>
    <row r="213" spans="1:35">
      <c r="B213">
        <f>0.000008*('Cost Model S-PSH'!C89)^2 - 0.0174*('Cost Model S-PSH'!C89) + 242.74</f>
        <v>233.71717248000002</v>
      </c>
      <c r="C213">
        <f>0.000008*('Cost Model S-PSH'!C89)^2 - 0.017*('Cost Model S-PSH'!C89) + 230.3</f>
        <v>221.61853248</v>
      </c>
      <c r="D213">
        <f>0.000008*('Cost Model S-PSH'!C89)^2 - 0.0168*('Cost Model S-PSH'!C89) + 223.7</f>
        <v>215.18921247999998</v>
      </c>
      <c r="E213">
        <f>0.000008*('Cost Model S-PSH'!C89)^2 - 0.0173*('Cost Model S-PSH'!C89) + 219.28</f>
        <v>210.34251248000001</v>
      </c>
      <c r="L213">
        <f>0.00002*('Cost Model S-PSH'!C89)^2 - 0.0499*('Cost Model S-PSH'!C89) + 212.36</f>
        <v>184.34117120000002</v>
      </c>
      <c r="M213">
        <f>0.00002*('Cost Model S-PSH'!C89)^2 - 0.0457*('Cost Model S-PSH'!C89) + 200.9</f>
        <v>176.46545120000002</v>
      </c>
      <c r="N213">
        <f>0.00002*('Cost Model S-PSH'!C89)^2 - 0.046*('Cost Model S-PSH'!C89) + 196.81</f>
        <v>172.11943120000001</v>
      </c>
      <c r="O213">
        <f>0.00002*('Cost Model S-PSH'!C89)^2 - 0.0501*('Cost Model S-PSH'!C89)+ 195</f>
        <v>166.8104912</v>
      </c>
      <c r="V213">
        <f>0.00001*('Cost Model S-PSH'!C89)^2 - 0.0319*('Cost Model S-PSH'!C89) + 165.52</f>
        <v>145.57945560000002</v>
      </c>
      <c r="W213">
        <f>0.00001*('Cost Model S-PSH'!C89)^2 - 0.0338*('Cost Model S-PSH'!C89)+ 159.73</f>
        <v>138.16799559999998</v>
      </c>
      <c r="X213">
        <f>0.00001*('Cost Model S-PSH'!C89)^2 - 0.0313*('Cost Model S-PSH'!C89) + 155.12</f>
        <v>135.6914956</v>
      </c>
      <c r="Y213">
        <f>0.00001*('Cost Model S-PSH'!C89)^2 - 0.0309*('Cost Model S-PSH'!C89) + 151.13</f>
        <v>132.0428556</v>
      </c>
      <c r="AF213">
        <f>0.00001*('Cost Model S-PSH'!C89)^2 - 0.0447*('Cost Model S-PSH'!C89) + 144.85</f>
        <v>113.98593559999999</v>
      </c>
      <c r="AG213">
        <f>0.00001*('Cost Model S-PSH'!C89)^2 - 0.041*('Cost Model S-PSH'!C89)+ 136.46</f>
        <v>108.7535156</v>
      </c>
      <c r="AH213">
        <f>0.00001*('Cost Model S-PSH'!C89)^2 - 0.0391*('Cost Model S-PSH'!C89) + 133.75</f>
        <v>107.66497559999999</v>
      </c>
      <c r="AI213">
        <f>0.00001*('Cost Model S-PSH'!C89)^2 - 0.0406*('Cost Model S-PSH'!C89) + 131.67</f>
        <v>104.30487559999999</v>
      </c>
    </row>
    <row r="239" spans="1:24">
      <c r="A239" s="5" t="s">
        <v>710</v>
      </c>
      <c r="K239" s="5" t="s">
        <v>711</v>
      </c>
      <c r="V239" s="5" t="s">
        <v>712</v>
      </c>
    </row>
    <row r="240" spans="1:24">
      <c r="A240" s="4" t="s">
        <v>713</v>
      </c>
      <c r="B240" s="4" t="s">
        <v>594</v>
      </c>
      <c r="K240" s="4" t="s">
        <v>714</v>
      </c>
      <c r="L240" s="4" t="s">
        <v>715</v>
      </c>
      <c r="M240" s="4" t="s">
        <v>716</v>
      </c>
      <c r="N240" s="4" t="s">
        <v>717</v>
      </c>
      <c r="O240" s="4" t="s">
        <v>718</v>
      </c>
      <c r="V240" s="139" t="s">
        <v>719</v>
      </c>
      <c r="W240" s="139" t="s">
        <v>416</v>
      </c>
      <c r="X240" s="139" t="s">
        <v>720</v>
      </c>
    </row>
    <row r="241" spans="1:24">
      <c r="A241" s="4">
        <v>0.25</v>
      </c>
      <c r="B241" s="4">
        <v>2090</v>
      </c>
      <c r="D241" t="s">
        <v>721</v>
      </c>
      <c r="K241" s="4">
        <v>2</v>
      </c>
      <c r="L241" s="4">
        <v>1.4</v>
      </c>
      <c r="M241" s="4">
        <v>1.7</v>
      </c>
      <c r="N241" s="4">
        <v>3.55</v>
      </c>
      <c r="O241" s="4">
        <v>7.35</v>
      </c>
      <c r="V241" s="139" t="s">
        <v>722</v>
      </c>
      <c r="W241" s="15">
        <v>439000</v>
      </c>
      <c r="X241" s="15">
        <v>293000</v>
      </c>
    </row>
    <row r="242" spans="1:24">
      <c r="A242" s="4">
        <v>0.5</v>
      </c>
      <c r="B242" s="4">
        <v>2330</v>
      </c>
      <c r="D242" s="4">
        <f>2489.4*('Cost Model S-PSH'!C39)^0.118</f>
        <v>2406.3118750634426</v>
      </c>
      <c r="K242" s="4">
        <v>3</v>
      </c>
      <c r="L242" s="4">
        <v>2.2000000000000002</v>
      </c>
      <c r="M242" s="4">
        <v>2.8</v>
      </c>
      <c r="N242" s="4">
        <v>6.15</v>
      </c>
      <c r="O242" s="4">
        <v>13.5</v>
      </c>
      <c r="V242" s="139" t="s">
        <v>723</v>
      </c>
      <c r="W242" s="4">
        <v>283000</v>
      </c>
      <c r="X242" s="15">
        <v>186000</v>
      </c>
    </row>
    <row r="243" spans="1:24">
      <c r="A243" s="4">
        <v>1</v>
      </c>
      <c r="B243" s="4">
        <v>2500</v>
      </c>
      <c r="K243" s="4">
        <v>4</v>
      </c>
      <c r="L243" s="4">
        <v>2.75</v>
      </c>
      <c r="M243" s="4">
        <v>3.7</v>
      </c>
      <c r="N243" s="4">
        <v>7.9</v>
      </c>
      <c r="O243" s="4">
        <v>16.5</v>
      </c>
      <c r="V243" s="139" t="s">
        <v>414</v>
      </c>
      <c r="W243" s="4">
        <v>189000</v>
      </c>
      <c r="X243" s="15">
        <v>123000</v>
      </c>
    </row>
    <row r="244" spans="1:24">
      <c r="A244" s="4">
        <v>1.5</v>
      </c>
      <c r="B244" s="4">
        <v>2600</v>
      </c>
      <c r="K244" s="4">
        <v>5</v>
      </c>
      <c r="L244" s="4">
        <v>3.3</v>
      </c>
      <c r="M244" s="4">
        <v>4.4000000000000004</v>
      </c>
      <c r="N244" s="4">
        <v>9.4</v>
      </c>
      <c r="O244" s="4">
        <v>19</v>
      </c>
    </row>
    <row r="245" spans="1:24">
      <c r="A245" s="4">
        <v>2</v>
      </c>
      <c r="B245" s="4">
        <v>2690</v>
      </c>
      <c r="K245" s="4">
        <v>6</v>
      </c>
      <c r="L245" s="4">
        <v>3.65</v>
      </c>
      <c r="M245" s="4">
        <v>4.9000000000000004</v>
      </c>
      <c r="N245" s="4">
        <v>11</v>
      </c>
      <c r="O245" s="4">
        <v>21</v>
      </c>
    </row>
    <row r="247" spans="1:24">
      <c r="L247" t="s">
        <v>724</v>
      </c>
      <c r="M247" t="s">
        <v>725</v>
      </c>
      <c r="N247" t="s">
        <v>726</v>
      </c>
      <c r="O247" t="s">
        <v>727</v>
      </c>
    </row>
    <row r="248" spans="1:24">
      <c r="L248">
        <f>-0.0643*('Cost Model S-PSH'!C106)^2 + 1.0743*'Cost Model S-PSH'!C106 - 0.48</f>
        <v>0.53</v>
      </c>
      <c r="M248">
        <f>-0.1*('Cost Model S-PSH'!C106)^2 + 1.6*('Cost Model S-PSH'!C106) - 1.1</f>
        <v>0.39999999999999991</v>
      </c>
      <c r="N248">
        <f>-0.1607*('Cost Model S-PSH'!C106)^2 + 3.1007*('Cost Model S-PSH'!C106) - 1.91</f>
        <v>1.03</v>
      </c>
      <c r="O248">
        <f>-0.6286*('Cost Model S-PSH'!C106)^2 + 8.3086*('Cost Model S-PSH'!C106) - 6.45</f>
        <v>1.2299999999999995</v>
      </c>
      <c r="Q248" s="4">
        <f>IF('Cost Model S-PSH'!C63&lt;=160,'Cost Curves S-PSH'!L248,IF(AND('Cost Model S-PSH'!C63&gt;160,'Cost Model S-PSH'!C63&lt;=230),'Cost Curves S-PSH'!M248,IF(AND('Cost Model S-PSH'!C63&gt;230,'Cost Model S-PSH'!C63&lt;=345),'Cost Curves S-PSH'!N248,IF('Cost Model S-PSH'!C63&gt;345,'Cost Curves S-PSH'!O248))))</f>
        <v>1.03</v>
      </c>
    </row>
    <row r="274" spans="1:21">
      <c r="A274" s="5" t="s">
        <v>728</v>
      </c>
      <c r="U274" s="5"/>
    </row>
    <row r="275" spans="1:21">
      <c r="A275" s="4" t="s">
        <v>729</v>
      </c>
      <c r="B275" s="4" t="s">
        <v>730</v>
      </c>
      <c r="C275" s="4" t="s">
        <v>716</v>
      </c>
      <c r="D275" s="4" t="s">
        <v>717</v>
      </c>
      <c r="E275" s="4" t="s">
        <v>718</v>
      </c>
      <c r="H275" s="4" t="s">
        <v>731</v>
      </c>
    </row>
    <row r="276" spans="1:21">
      <c r="A276" s="4">
        <v>28.5</v>
      </c>
      <c r="B276" s="4">
        <v>110</v>
      </c>
      <c r="H276" s="139" t="s">
        <v>732</v>
      </c>
      <c r="I276" s="4">
        <v>1.05</v>
      </c>
    </row>
    <row r="277" spans="1:21">
      <c r="A277" s="4">
        <v>30</v>
      </c>
      <c r="B277" s="4">
        <v>112</v>
      </c>
      <c r="H277" s="4" t="s">
        <v>414</v>
      </c>
      <c r="I277" s="4">
        <v>1</v>
      </c>
    </row>
    <row r="278" spans="1:21">
      <c r="A278" s="4">
        <v>40</v>
      </c>
      <c r="B278" s="4">
        <v>115</v>
      </c>
      <c r="H278" s="4" t="s">
        <v>733</v>
      </c>
      <c r="I278" s="4">
        <v>1</v>
      </c>
    </row>
    <row r="279" spans="1:21">
      <c r="A279" s="4">
        <v>50</v>
      </c>
      <c r="B279" s="4">
        <v>120</v>
      </c>
      <c r="H279" s="4" t="s">
        <v>734</v>
      </c>
      <c r="I279" s="4">
        <v>2.25</v>
      </c>
    </row>
    <row r="280" spans="1:21">
      <c r="A280" s="4">
        <v>60</v>
      </c>
      <c r="B280" s="4">
        <v>122</v>
      </c>
      <c r="H280" s="4" t="s">
        <v>735</v>
      </c>
      <c r="I280" s="4">
        <v>1.4</v>
      </c>
    </row>
    <row r="281" spans="1:21">
      <c r="A281" s="4">
        <v>70</v>
      </c>
      <c r="B281" s="4">
        <v>128</v>
      </c>
      <c r="H281" s="4" t="s">
        <v>442</v>
      </c>
      <c r="I281" s="4">
        <v>1.75</v>
      </c>
    </row>
    <row r="282" spans="1:21">
      <c r="A282" s="4">
        <v>80</v>
      </c>
      <c r="B282" s="4">
        <v>132</v>
      </c>
      <c r="H282" s="4" t="s">
        <v>736</v>
      </c>
      <c r="I282" s="4">
        <v>1.2</v>
      </c>
    </row>
    <row r="283" spans="1:21">
      <c r="A283" s="4">
        <v>90</v>
      </c>
      <c r="B283" s="4">
        <v>140</v>
      </c>
      <c r="H283" s="4" t="s">
        <v>737</v>
      </c>
      <c r="I283" s="4">
        <v>1.27</v>
      </c>
    </row>
    <row r="284" spans="1:21">
      <c r="A284" s="4">
        <v>100</v>
      </c>
      <c r="B284" s="4">
        <v>150</v>
      </c>
      <c r="H284" s="4" t="s">
        <v>738</v>
      </c>
      <c r="I284" s="4">
        <v>1.59</v>
      </c>
    </row>
    <row r="285" spans="1:21">
      <c r="A285" s="4">
        <v>125</v>
      </c>
      <c r="B285" s="4">
        <v>172</v>
      </c>
    </row>
    <row r="286" spans="1:21">
      <c r="A286" s="4">
        <v>102</v>
      </c>
      <c r="C286" s="4">
        <v>175</v>
      </c>
      <c r="H286" s="139" t="s">
        <v>739</v>
      </c>
    </row>
    <row r="287" spans="1:21">
      <c r="A287" s="4">
        <v>150</v>
      </c>
      <c r="C287" s="4">
        <v>180</v>
      </c>
      <c r="H287" s="139" t="s">
        <v>444</v>
      </c>
      <c r="I287" s="16">
        <f>AVERAGE(K290:K292)</f>
        <v>1.6004696290247125</v>
      </c>
    </row>
    <row r="288" spans="1:21">
      <c r="A288" s="4">
        <v>200</v>
      </c>
      <c r="C288" s="4">
        <v>190</v>
      </c>
    </row>
    <row r="289" spans="1:11">
      <c r="A289" s="4">
        <v>300</v>
      </c>
      <c r="C289" s="4">
        <v>230</v>
      </c>
      <c r="H289" s="4" t="s">
        <v>740</v>
      </c>
      <c r="I289" s="4" t="s">
        <v>741</v>
      </c>
      <c r="J289" s="4" t="s">
        <v>742</v>
      </c>
    </row>
    <row r="290" spans="1:11">
      <c r="A290" s="4">
        <v>340</v>
      </c>
      <c r="C290" s="4">
        <v>240</v>
      </c>
      <c r="H290" s="4">
        <v>230</v>
      </c>
      <c r="I290" s="162">
        <v>959700</v>
      </c>
      <c r="J290" s="162">
        <v>1536400</v>
      </c>
      <c r="K290" s="4">
        <f>J290/I290</f>
        <v>1.6009169532145462</v>
      </c>
    </row>
    <row r="291" spans="1:11">
      <c r="A291" s="4">
        <v>350</v>
      </c>
      <c r="D291" s="4">
        <v>275</v>
      </c>
      <c r="H291" s="4">
        <v>345</v>
      </c>
      <c r="I291" s="162">
        <v>1343800</v>
      </c>
      <c r="J291" s="162">
        <v>2150300</v>
      </c>
      <c r="K291" s="4">
        <f>J291/I291</f>
        <v>1.6001637148385177</v>
      </c>
    </row>
    <row r="292" spans="1:11">
      <c r="A292" s="4">
        <v>400</v>
      </c>
      <c r="D292" s="4">
        <v>280</v>
      </c>
      <c r="H292" s="4">
        <v>500</v>
      </c>
      <c r="I292" s="162">
        <v>1919450</v>
      </c>
      <c r="J292" s="162">
        <v>3071750</v>
      </c>
      <c r="K292" s="4">
        <f>J292/I292</f>
        <v>1.6003282190210737</v>
      </c>
    </row>
    <row r="293" spans="1:11">
      <c r="A293" s="4">
        <v>500</v>
      </c>
      <c r="D293" s="4">
        <v>285</v>
      </c>
    </row>
    <row r="294" spans="1:11">
      <c r="A294" s="4">
        <v>600</v>
      </c>
      <c r="D294" s="4">
        <v>290</v>
      </c>
    </row>
    <row r="295" spans="1:11">
      <c r="A295" s="4">
        <v>700</v>
      </c>
      <c r="D295" s="4">
        <v>295</v>
      </c>
    </row>
    <row r="296" spans="1:11">
      <c r="A296" s="4">
        <v>800</v>
      </c>
      <c r="D296" s="4">
        <v>305</v>
      </c>
    </row>
    <row r="297" spans="1:11">
      <c r="A297" s="4">
        <v>900</v>
      </c>
      <c r="D297" s="4">
        <v>325</v>
      </c>
      <c r="E297" s="4">
        <v>400</v>
      </c>
    </row>
    <row r="298" spans="1:11">
      <c r="A298" s="4">
        <v>1000</v>
      </c>
      <c r="D298" s="4">
        <v>370</v>
      </c>
      <c r="E298" s="4">
        <v>402</v>
      </c>
    </row>
    <row r="299" spans="1:11">
      <c r="A299" s="4">
        <v>2000</v>
      </c>
      <c r="E299" s="4">
        <v>450</v>
      </c>
    </row>
    <row r="300" spans="1:11">
      <c r="A300" s="4">
        <v>3000</v>
      </c>
      <c r="E300" s="4">
        <v>575</v>
      </c>
    </row>
    <row r="302" spans="1:11">
      <c r="B302" t="s">
        <v>743</v>
      </c>
      <c r="C302" t="s">
        <v>744</v>
      </c>
      <c r="D302" t="s">
        <v>745</v>
      </c>
      <c r="E302" t="s">
        <v>746</v>
      </c>
    </row>
    <row r="303" spans="1:11">
      <c r="B303">
        <f>0.0043*('Cost Model S-PSH'!C105)^2 - 0.028*'Cost Model S-PSH'!C105 + 108.72</f>
        <v>163.54278221623792</v>
      </c>
      <c r="C303">
        <f>0.0007*('Cost Model S-PSH'!C105)^2 - 0.0382*('Cost Model S-PSH'!C105) + 169.98</f>
        <v>174.99490445845555</v>
      </c>
      <c r="D303">
        <f>0.0003*('Cost Model S-PSH'!C105)^2 - 0.2536*('Cost Model S-PSH'!C105) + 335.57</f>
        <v>310.14940413090784</v>
      </c>
      <c r="E303">
        <f>0.00004*('Cost Model S-PSH'!C105)^2 - 0.0652*('Cost Model S-PSH'!C105)+ 428.5</f>
        <v>421.46294312081051</v>
      </c>
      <c r="G303" s="4">
        <f>IF('Cost Model S-PSH'!C62&lt;=138,'Cost Curves S-PSH'!B303,IF(AND('Cost Model S-PSH'!C62&gt;138,'Cost Model S-PSH'!C62&lt;=230),'Cost Curves S-PSH'!C303,IF(AND('Cost Model S-PSH'!C62&gt;230,'Cost Model S-PSH'!C62&lt;=345),'Cost Curves S-PSH'!D303,IF('Cost Model S-PSH'!C62&lt;=138&gt;=345,'Cost Curves S-PSH'!E303))))</f>
        <v>421.46294312081051</v>
      </c>
    </row>
    <row r="332" spans="1:2">
      <c r="A332" s="139" t="s">
        <v>106</v>
      </c>
      <c r="B332" s="139" t="str">
        <f>'Cost Model S-PSH'!C47</f>
        <v>Surface</v>
      </c>
    </row>
    <row r="333" spans="1:2">
      <c r="A333" s="139" t="s">
        <v>747</v>
      </c>
      <c r="B333" s="139" t="str">
        <f>IF('Cost Model S-PSH'!C44="Horizontal","Horizontal Intake to Upper low pressure tunnel to Shaft to Upper high pressure tunnel",IF('Cost Model S-PSH'!C44="Vertical","Vertical Intake to Shaft to Upper Tunnel"))</f>
        <v>Vertical Intake to Shaft to Upper Tunnel</v>
      </c>
    </row>
    <row r="334" spans="1:2">
      <c r="A334" s="139" t="s">
        <v>748</v>
      </c>
      <c r="B334" s="139" t="s">
        <v>109</v>
      </c>
    </row>
    <row r="335" spans="1:2">
      <c r="A335" s="139" t="s">
        <v>749</v>
      </c>
      <c r="B335" s="139" t="s">
        <v>750</v>
      </c>
    </row>
    <row r="336" spans="1:2">
      <c r="A336" s="139"/>
      <c r="B336" s="139"/>
    </row>
    <row r="337" spans="1:2">
      <c r="A337" s="139" t="s">
        <v>751</v>
      </c>
      <c r="B337" s="139" t="str">
        <f>IF(AND(B332="Underground",B333="Vertical Intake to Shaft to Upper Tunnel",B334="Tunnel",B335="Tailrace tunnel"),"A",IF(AND(B332="Underground",B333="Horizontal Intake to Upper low pressure tunnel to Shaft to Upper high pressure tunnel",B334="Tunnel",B335="Tailrace tunnel"),"B",IF(AND(B332="Surface",B333="Vertical Intake to Shaft to Upper Tunnel",B334="Tunnel",B335="Direct Discharge"),"C",IF(AND(B332="Surface",B333="Horizontal Intake to Upper low pressure tunnel to Shaft to Upper high pressure tunnel",B334="Tunnel",B335="Tailrace tunnel"),"D",IF(AND(B332="Surface",B333="Horizontal Intake to Upper low pressure tunnel to Shaft to Upper high pressure tunnel",B334="Penstock",B335="Tailrace tunnel"),"E",IF(AND(B332="Surface",B333="Horizontal Intake to Upper low pressure tunnel to Shaft to Upper high pressure tunnel",B334="Penstock",B335="Direct Discharge"),"F","Out of Bounds"))))))</f>
        <v>Out of Bounds</v>
      </c>
    </row>
    <row r="338" spans="1:2">
      <c r="A338" s="5" t="s">
        <v>752</v>
      </c>
    </row>
    <row r="361" spans="1:8">
      <c r="A361" s="139" t="s">
        <v>753</v>
      </c>
      <c r="C361" s="139" t="s">
        <v>754</v>
      </c>
    </row>
    <row r="362" spans="1:8">
      <c r="A362" s="139" t="s">
        <v>755</v>
      </c>
      <c r="B362" s="139" t="s">
        <v>756</v>
      </c>
      <c r="E362" s="139"/>
      <c r="F362" s="139"/>
    </row>
    <row r="363" spans="1:8">
      <c r="A363" s="4">
        <v>400</v>
      </c>
      <c r="B363" s="4">
        <v>65</v>
      </c>
      <c r="D363" s="163">
        <f>'Cost Model S-PSH'!C113*448.83</f>
        <v>615494.12701666669</v>
      </c>
      <c r="E363" s="139" t="s">
        <v>755</v>
      </c>
    </row>
    <row r="364" spans="1:8">
      <c r="A364" s="4">
        <v>700</v>
      </c>
      <c r="B364" s="4">
        <v>100</v>
      </c>
      <c r="D364" s="139" t="s">
        <v>756</v>
      </c>
    </row>
    <row r="365" spans="1:8">
      <c r="A365" s="4">
        <v>1000</v>
      </c>
      <c r="B365" s="4">
        <v>150</v>
      </c>
      <c r="D365" s="18">
        <f>0.7799*(D363)^0.7442*1000</f>
        <v>15862782.028809585</v>
      </c>
      <c r="E365" s="139" t="s">
        <v>757</v>
      </c>
    </row>
    <row r="366" spans="1:8">
      <c r="A366" s="4">
        <v>5000</v>
      </c>
      <c r="B366" s="4">
        <v>400</v>
      </c>
    </row>
    <row r="367" spans="1:8">
      <c r="A367" s="4">
        <v>10000</v>
      </c>
      <c r="B367" s="4">
        <v>750</v>
      </c>
      <c r="H367" s="139"/>
    </row>
    <row r="368" spans="1:8">
      <c r="A368" s="4">
        <v>15000</v>
      </c>
      <c r="B368" s="4">
        <v>1000</v>
      </c>
      <c r="H368" s="18"/>
    </row>
    <row r="369" spans="1:5">
      <c r="A369" s="4">
        <v>50000</v>
      </c>
      <c r="B369" s="4">
        <v>2500</v>
      </c>
    </row>
    <row r="371" spans="1:5">
      <c r="A371" s="139" t="s">
        <v>758</v>
      </c>
    </row>
    <row r="372" spans="1:5">
      <c r="A372" s="139" t="s">
        <v>759</v>
      </c>
      <c r="B372" s="139" t="s">
        <v>760</v>
      </c>
    </row>
    <row r="373" spans="1:5">
      <c r="A373" s="139" t="s">
        <v>761</v>
      </c>
    </row>
    <row r="374" spans="1:5">
      <c r="A374" s="139" t="s">
        <v>762</v>
      </c>
      <c r="D374" s="4">
        <f>'Cost Model S-PSH'!I10/1000</f>
        <v>116.21635821932541</v>
      </c>
      <c r="E374" s="17">
        <f>1051.9*(D374^-0.204)*'Market Adj Factors'!C47</f>
        <v>478.8009193183359</v>
      </c>
    </row>
    <row r="375" spans="1:5">
      <c r="E375" s="17"/>
    </row>
    <row r="376" spans="1:5">
      <c r="A376" s="139" t="s">
        <v>763</v>
      </c>
      <c r="B376" s="139" t="s">
        <v>764</v>
      </c>
      <c r="E376" s="17"/>
    </row>
    <row r="377" spans="1:5">
      <c r="A377" s="139" t="s">
        <v>761</v>
      </c>
      <c r="E377" s="17"/>
    </row>
    <row r="378" spans="1:5">
      <c r="A378" s="139" t="s">
        <v>765</v>
      </c>
      <c r="D378" s="18">
        <f>D374</f>
        <v>116.21635821932541</v>
      </c>
      <c r="E378" s="17">
        <f>697.41*D378^-0.329*'Market Adj Factors'!C47</f>
        <v>175.19039145938373</v>
      </c>
    </row>
    <row r="380" spans="1:5">
      <c r="A380" s="139"/>
    </row>
    <row r="381" spans="1:5">
      <c r="A381" s="139"/>
    </row>
    <row r="383" spans="1:5">
      <c r="A383" s="139"/>
    </row>
    <row r="384" spans="1:5">
      <c r="A384" s="139"/>
    </row>
    <row r="385" spans="1:1">
      <c r="A385" s="139"/>
    </row>
    <row r="388" spans="1:1">
      <c r="A388" s="21"/>
    </row>
    <row r="389" spans="1:1">
      <c r="A389" s="21"/>
    </row>
    <row r="390" spans="1:1">
      <c r="A390" s="22"/>
    </row>
    <row r="391" spans="1:1">
      <c r="A391" s="22"/>
    </row>
    <row r="392" spans="1:1">
      <c r="A392" s="22"/>
    </row>
    <row r="393" spans="1:1">
      <c r="A393" s="22"/>
    </row>
    <row r="394" spans="1:1">
      <c r="A394" s="22"/>
    </row>
    <row r="395" spans="1:1">
      <c r="A395" s="22"/>
    </row>
  </sheetData>
  <mergeCells count="28">
    <mergeCell ref="B1:H1"/>
    <mergeCell ref="L1:R1"/>
    <mergeCell ref="V1:AB1"/>
    <mergeCell ref="AF1:AL1"/>
    <mergeCell ref="B2:E2"/>
    <mergeCell ref="F2:I2"/>
    <mergeCell ref="L2:O2"/>
    <mergeCell ref="P2:S2"/>
    <mergeCell ref="V2:Y2"/>
    <mergeCell ref="Z2:AC2"/>
    <mergeCell ref="AF2:AI2"/>
    <mergeCell ref="AJ2:AM2"/>
    <mergeCell ref="B43:H43"/>
    <mergeCell ref="L43:R43"/>
    <mergeCell ref="V43:AB43"/>
    <mergeCell ref="AF43:AL43"/>
    <mergeCell ref="AF44:AI44"/>
    <mergeCell ref="AJ44:AM44"/>
    <mergeCell ref="A85:C85"/>
    <mergeCell ref="V85:AB85"/>
    <mergeCell ref="V86:Y86"/>
    <mergeCell ref="Z86:AC86"/>
    <mergeCell ref="B44:E44"/>
    <mergeCell ref="F44:I44"/>
    <mergeCell ref="L44:O44"/>
    <mergeCell ref="P44:S44"/>
    <mergeCell ref="V44:Y44"/>
    <mergeCell ref="Z44:AC44"/>
  </mergeCells>
  <dataValidations count="2">
    <dataValidation type="list" allowBlank="1" showInputMessage="1" showErrorMessage="1" sqref="B335" xr:uid="{B06B16FC-7A3D-6645-9D9A-BD3414BC7F44}">
      <formula1>"Tailrace tunnel, Direct Discharge"</formula1>
    </dataValidation>
    <dataValidation type="list" allowBlank="1" showInputMessage="1" showErrorMessage="1" sqref="B334" xr:uid="{151404E7-1A4F-E745-B40D-72A162CA7009}">
      <formula1>"Tunnel, Penstock"</formula1>
    </dataValidation>
  </dataValidations>
  <pageMargins left="0.7" right="0.7" top="0.75" bottom="0.75" header="0.3" footer="0.3"/>
  <pageSetup orientation="portrait" horizontalDpi="360" verticalDpi="36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36395A-CCD8-024E-8308-E4F427D41DF1}">
  <sheetPr codeName="Sheet5">
    <tabColor theme="6"/>
  </sheetPr>
  <dimension ref="B5:M633"/>
  <sheetViews>
    <sheetView zoomScale="85" zoomScaleNormal="85" workbookViewId="0"/>
  </sheetViews>
  <sheetFormatPr defaultColWidth="10.6640625" defaultRowHeight="15.75"/>
  <cols>
    <col min="1" max="1" width="10.6640625" style="4"/>
    <col min="2" max="2" width="64.6640625" style="4" bestFit="1" customWidth="1"/>
    <col min="3" max="3" width="14.5" style="4" bestFit="1" customWidth="1"/>
    <col min="4" max="4" width="14" style="4" bestFit="1" customWidth="1"/>
    <col min="5" max="9" width="10.6640625" style="4"/>
    <col min="10" max="10" width="10.6640625" style="9"/>
    <col min="11" max="12" width="11" style="9" bestFit="1" customWidth="1"/>
    <col min="13" max="13" width="10.6640625" style="9"/>
    <col min="14" max="16384" width="10.6640625" style="4"/>
  </cols>
  <sheetData>
    <row r="5" spans="2:13">
      <c r="B5" s="4" t="s">
        <v>771</v>
      </c>
      <c r="C5" s="4" t="s">
        <v>772</v>
      </c>
      <c r="D5" s="4" t="s">
        <v>773</v>
      </c>
      <c r="G5" s="164" t="s">
        <v>774</v>
      </c>
      <c r="H5" s="164" t="s">
        <v>775</v>
      </c>
      <c r="I5" s="164" t="s">
        <v>776</v>
      </c>
      <c r="J5" s="164"/>
      <c r="K5" s="164"/>
      <c r="L5" s="164"/>
      <c r="M5" s="164"/>
    </row>
    <row r="6" spans="2:13">
      <c r="B6" s="4" t="s">
        <v>777</v>
      </c>
      <c r="C6" s="43">
        <v>1.3</v>
      </c>
      <c r="D6" s="43" t="s">
        <v>778</v>
      </c>
      <c r="E6" s="137"/>
      <c r="G6" s="164">
        <v>1970</v>
      </c>
      <c r="H6" s="164">
        <v>38.841666666666661</v>
      </c>
      <c r="I6" s="164">
        <f t="shared" ref="I6:I37" si="0">H6/$H$24</f>
        <v>0.32840132459663202</v>
      </c>
      <c r="J6" s="164"/>
      <c r="K6" s="139"/>
      <c r="L6" s="139"/>
      <c r="M6" s="139"/>
    </row>
    <row r="7" spans="2:13">
      <c r="B7" s="4" t="s">
        <v>779</v>
      </c>
      <c r="C7" s="43">
        <v>1.4</v>
      </c>
      <c r="D7" s="165" t="s">
        <v>780</v>
      </c>
      <c r="E7" s="166"/>
      <c r="G7" s="164">
        <v>1971</v>
      </c>
      <c r="H7" s="164">
        <v>40.483333333333334</v>
      </c>
      <c r="I7" s="164">
        <f t="shared" si="0"/>
        <v>0.34228140632706261</v>
      </c>
      <c r="J7" s="164"/>
      <c r="K7" s="139"/>
      <c r="L7" s="139"/>
      <c r="M7" s="139"/>
    </row>
    <row r="8" spans="2:13">
      <c r="B8" s="139" t="s">
        <v>781</v>
      </c>
      <c r="C8" s="43">
        <v>2</v>
      </c>
      <c r="D8" s="165" t="s">
        <v>782</v>
      </c>
      <c r="E8" s="166"/>
      <c r="G8" s="164">
        <v>1972</v>
      </c>
      <c r="H8" s="164">
        <v>41.80833333333333</v>
      </c>
      <c r="I8" s="164">
        <f t="shared" si="0"/>
        <v>0.35348411188614098</v>
      </c>
      <c r="J8" s="164"/>
      <c r="K8" s="139"/>
      <c r="L8" s="139"/>
      <c r="M8" s="139"/>
    </row>
    <row r="9" spans="2:13">
      <c r="B9" s="139" t="s">
        <v>783</v>
      </c>
      <c r="C9" s="43">
        <v>1.3</v>
      </c>
      <c r="D9" s="165" t="s">
        <v>782</v>
      </c>
      <c r="E9" s="166"/>
      <c r="G9" s="164">
        <v>1973</v>
      </c>
      <c r="H9" s="164">
        <v>44.425000000000004</v>
      </c>
      <c r="I9" s="164">
        <f t="shared" si="0"/>
        <v>0.37560769393362925</v>
      </c>
      <c r="J9" s="164"/>
      <c r="K9" s="139"/>
      <c r="L9" s="139"/>
      <c r="M9" s="139"/>
    </row>
    <row r="10" spans="2:13">
      <c r="B10" s="4" t="s">
        <v>784</v>
      </c>
      <c r="C10" s="43">
        <v>1.3</v>
      </c>
      <c r="D10" s="165" t="s">
        <v>785</v>
      </c>
      <c r="E10" s="166"/>
      <c r="G10" s="164">
        <v>1974</v>
      </c>
      <c r="H10" s="164">
        <v>49.316666666666663</v>
      </c>
      <c r="I10" s="164">
        <f t="shared" si="0"/>
        <v>0.41696611005425199</v>
      </c>
      <c r="J10" s="164"/>
      <c r="K10" s="139"/>
      <c r="L10" s="139"/>
      <c r="M10" s="139"/>
    </row>
    <row r="11" spans="2:13">
      <c r="B11" s="4" t="s">
        <v>786</v>
      </c>
      <c r="C11" s="43">
        <v>1.8</v>
      </c>
      <c r="D11" s="165" t="s">
        <v>787</v>
      </c>
      <c r="E11" s="166"/>
      <c r="G11" s="164">
        <v>1975</v>
      </c>
      <c r="H11" s="164">
        <v>53.824999999999996</v>
      </c>
      <c r="I11" s="164">
        <f t="shared" si="0"/>
        <v>0.4550834918621855</v>
      </c>
      <c r="J11" s="164"/>
      <c r="K11" s="139"/>
      <c r="L11" s="139"/>
      <c r="M11" s="139"/>
    </row>
    <row r="12" spans="2:13">
      <c r="B12" s="4" t="s">
        <v>788</v>
      </c>
      <c r="C12" s="43">
        <v>1.6</v>
      </c>
      <c r="D12" s="165" t="s">
        <v>789</v>
      </c>
      <c r="E12" s="166"/>
      <c r="G12" s="164">
        <v>1976</v>
      </c>
      <c r="H12" s="164">
        <v>56.933333333333337</v>
      </c>
      <c r="I12" s="164">
        <f t="shared" si="0"/>
        <v>0.48136405270203619</v>
      </c>
      <c r="J12" s="164"/>
      <c r="K12" s="139"/>
      <c r="L12" s="139"/>
      <c r="M12" s="139"/>
    </row>
    <row r="13" spans="2:13">
      <c r="B13" s="4" t="s">
        <v>790</v>
      </c>
      <c r="C13" s="43">
        <v>1.9</v>
      </c>
      <c r="D13" s="165" t="s">
        <v>791</v>
      </c>
      <c r="E13" s="166"/>
      <c r="G13" s="164">
        <v>1977</v>
      </c>
      <c r="H13" s="164">
        <v>60.616666666666667</v>
      </c>
      <c r="I13" s="164">
        <f t="shared" si="0"/>
        <v>0.51250616501092083</v>
      </c>
      <c r="J13" s="164"/>
      <c r="K13" s="139"/>
      <c r="L13" s="139"/>
      <c r="M13" s="139"/>
    </row>
    <row r="14" spans="2:13">
      <c r="B14" s="4" t="s">
        <v>792</v>
      </c>
      <c r="C14" s="43">
        <v>1.9</v>
      </c>
      <c r="D14" s="165" t="s">
        <v>791</v>
      </c>
      <c r="E14" s="166"/>
      <c r="G14" s="164">
        <v>1978</v>
      </c>
      <c r="H14" s="164">
        <v>65.24166666666666</v>
      </c>
      <c r="I14" s="164">
        <f t="shared" si="0"/>
        <v>0.5516099485661945</v>
      </c>
      <c r="J14" s="164"/>
      <c r="K14" s="139"/>
      <c r="L14" s="139"/>
      <c r="M14" s="139"/>
    </row>
    <row r="15" spans="2:13">
      <c r="B15" s="4" t="s">
        <v>793</v>
      </c>
      <c r="C15" s="43">
        <v>1</v>
      </c>
      <c r="D15" s="165" t="s">
        <v>794</v>
      </c>
      <c r="E15" s="166"/>
      <c r="G15" s="164">
        <v>1979</v>
      </c>
      <c r="H15" s="164">
        <v>72.583333333333329</v>
      </c>
      <c r="I15" s="164">
        <f t="shared" si="0"/>
        <v>0.61368280138096232</v>
      </c>
      <c r="J15" s="164"/>
      <c r="K15" s="139"/>
      <c r="L15" s="139"/>
      <c r="M15" s="139"/>
    </row>
    <row r="16" spans="2:13">
      <c r="B16" s="4" t="s">
        <v>795</v>
      </c>
      <c r="C16" s="43" t="s">
        <v>796</v>
      </c>
      <c r="D16" s="43" t="s">
        <v>797</v>
      </c>
      <c r="E16" s="137"/>
      <c r="G16" s="164">
        <v>1980</v>
      </c>
      <c r="H16" s="164">
        <v>82.38333333333334</v>
      </c>
      <c r="I16" s="164">
        <f t="shared" si="0"/>
        <v>0.69654054815754241</v>
      </c>
      <c r="J16" s="164"/>
      <c r="K16" s="139"/>
      <c r="L16" s="139"/>
      <c r="M16" s="139"/>
    </row>
    <row r="17" spans="2:10">
      <c r="B17" s="4" t="s">
        <v>798</v>
      </c>
      <c r="C17" s="43">
        <v>1.7</v>
      </c>
      <c r="D17" s="165" t="s">
        <v>799</v>
      </c>
      <c r="E17" s="166"/>
      <c r="G17" s="164">
        <v>1981</v>
      </c>
      <c r="H17" s="164">
        <v>90.933333333333323</v>
      </c>
      <c r="I17" s="164">
        <f t="shared" si="0"/>
        <v>0.76882970478404822</v>
      </c>
      <c r="J17" s="164"/>
    </row>
    <row r="18" spans="2:10">
      <c r="B18" s="4" t="s">
        <v>800</v>
      </c>
      <c r="C18" s="43">
        <v>1.3</v>
      </c>
      <c r="D18" s="165" t="s">
        <v>801</v>
      </c>
      <c r="E18" s="166"/>
      <c r="G18" s="164">
        <v>1982</v>
      </c>
      <c r="H18" s="164">
        <v>96.53333333333336</v>
      </c>
      <c r="I18" s="164">
        <f t="shared" si="0"/>
        <v>0.81617698865638</v>
      </c>
      <c r="J18" s="164"/>
    </row>
    <row r="19" spans="2:10">
      <c r="B19" s="4" t="s">
        <v>358</v>
      </c>
      <c r="C19" s="43">
        <v>1</v>
      </c>
      <c r="D19" s="165" t="s">
        <v>802</v>
      </c>
      <c r="E19" s="166"/>
      <c r="G19" s="164">
        <v>1983</v>
      </c>
      <c r="H19" s="164">
        <v>99.583333333333329</v>
      </c>
      <c r="I19" s="164">
        <f t="shared" si="0"/>
        <v>0.8419643486225602</v>
      </c>
      <c r="J19" s="164"/>
    </row>
    <row r="20" spans="2:10">
      <c r="B20" s="4" t="s">
        <v>803</v>
      </c>
      <c r="C20" s="44">
        <v>0.25</v>
      </c>
      <c r="D20" s="43" t="s">
        <v>797</v>
      </c>
      <c r="E20" s="137"/>
      <c r="G20" s="164">
        <v>1984</v>
      </c>
      <c r="H20" s="164">
        <v>103.93333333333334</v>
      </c>
      <c r="I20" s="164">
        <f t="shared" si="0"/>
        <v>0.8787430423448177</v>
      </c>
      <c r="J20" s="164"/>
    </row>
    <row r="21" spans="2:10">
      <c r="B21" s="4" t="s">
        <v>804</v>
      </c>
      <c r="C21" s="44">
        <v>0.1</v>
      </c>
      <c r="D21" s="43" t="s">
        <v>797</v>
      </c>
      <c r="E21" s="137"/>
      <c r="G21" s="164">
        <v>1985</v>
      </c>
      <c r="H21" s="164">
        <v>107.60000000000001</v>
      </c>
      <c r="I21" s="164">
        <f t="shared" si="0"/>
        <v>0.90974424011836807</v>
      </c>
      <c r="J21" s="164"/>
    </row>
    <row r="22" spans="2:10">
      <c r="B22" s="4" t="s">
        <v>120</v>
      </c>
      <c r="C22" s="44">
        <v>0.33</v>
      </c>
      <c r="D22" s="43" t="s">
        <v>797</v>
      </c>
      <c r="E22" s="137"/>
      <c r="G22" s="164">
        <v>1986</v>
      </c>
      <c r="H22" s="164">
        <v>109.69166666666668</v>
      </c>
      <c r="I22" s="164">
        <f t="shared" si="0"/>
        <v>0.92742901430282532</v>
      </c>
      <c r="J22" s="164"/>
    </row>
    <row r="23" spans="2:10">
      <c r="B23" s="4" t="s">
        <v>805</v>
      </c>
      <c r="C23" s="43">
        <v>1.3</v>
      </c>
      <c r="D23" s="43" t="s">
        <v>797</v>
      </c>
      <c r="E23" s="137"/>
      <c r="G23" s="164">
        <v>1987</v>
      </c>
      <c r="H23" s="164">
        <v>113.61666666666666</v>
      </c>
      <c r="I23" s="164">
        <f t="shared" si="0"/>
        <v>0.96061438737405747</v>
      </c>
      <c r="J23" s="164"/>
    </row>
    <row r="24" spans="2:10">
      <c r="G24" s="164">
        <v>1988</v>
      </c>
      <c r="H24" s="164">
        <v>118.27500000000002</v>
      </c>
      <c r="I24" s="164">
        <f t="shared" si="0"/>
        <v>1</v>
      </c>
      <c r="J24" s="164"/>
    </row>
    <row r="25" spans="2:10">
      <c r="G25" s="164">
        <v>1989</v>
      </c>
      <c r="H25" s="164">
        <v>123.94166666666668</v>
      </c>
      <c r="I25" s="164">
        <f t="shared" si="0"/>
        <v>1.0479109420136685</v>
      </c>
      <c r="J25" s="164"/>
    </row>
    <row r="26" spans="2:10">
      <c r="G26" s="164">
        <v>1990</v>
      </c>
      <c r="H26" s="164">
        <v>130.65833333333333</v>
      </c>
      <c r="I26" s="164">
        <f t="shared" si="0"/>
        <v>1.1046994997533994</v>
      </c>
      <c r="J26" s="164"/>
    </row>
    <row r="27" spans="2:10">
      <c r="G27" s="167">
        <v>1991</v>
      </c>
      <c r="H27" s="168">
        <v>136.16666666666666</v>
      </c>
      <c r="I27" s="164">
        <f t="shared" si="0"/>
        <v>1.1512717536813919</v>
      </c>
      <c r="J27" s="164"/>
    </row>
    <row r="28" spans="2:10">
      <c r="G28" s="164">
        <v>1992</v>
      </c>
      <c r="H28" s="164">
        <v>140.30833333333331</v>
      </c>
      <c r="I28" s="164">
        <f t="shared" si="0"/>
        <v>1.1862890157119703</v>
      </c>
      <c r="J28" s="168"/>
    </row>
    <row r="29" spans="2:10">
      <c r="B29" s="4" t="s">
        <v>771</v>
      </c>
      <c r="C29" s="4" t="s">
        <v>772</v>
      </c>
      <c r="D29" s="139" t="s">
        <v>112</v>
      </c>
      <c r="G29" s="164">
        <v>1993</v>
      </c>
      <c r="H29" s="164">
        <v>144.47499999999999</v>
      </c>
      <c r="I29" s="164">
        <f t="shared" si="0"/>
        <v>1.2215176495455504</v>
      </c>
      <c r="J29" s="164"/>
    </row>
    <row r="30" spans="2:10">
      <c r="B30" s="4" t="s">
        <v>777</v>
      </c>
      <c r="C30" s="4">
        <v>1.3</v>
      </c>
      <c r="D30" s="13">
        <f t="shared" ref="D30:D43" si="1">$C$45</f>
        <v>2.4063214260550976</v>
      </c>
      <c r="G30" s="164">
        <v>1994</v>
      </c>
      <c r="H30" s="164">
        <v>148.22499999999999</v>
      </c>
      <c r="I30" s="164">
        <f t="shared" si="0"/>
        <v>1.2532234199957724</v>
      </c>
      <c r="J30" s="164"/>
    </row>
    <row r="31" spans="2:10">
      <c r="B31" s="4" t="s">
        <v>779</v>
      </c>
      <c r="C31" s="4">
        <v>1.4</v>
      </c>
      <c r="D31" s="13">
        <f t="shared" si="1"/>
        <v>2.4063214260550976</v>
      </c>
      <c r="G31" s="164">
        <v>1995</v>
      </c>
      <c r="H31" s="164">
        <v>152.38333333333335</v>
      </c>
      <c r="I31" s="164">
        <f t="shared" si="0"/>
        <v>1.2883815965616854</v>
      </c>
      <c r="J31" s="164"/>
    </row>
    <row r="32" spans="2:10">
      <c r="B32" s="139" t="s">
        <v>781</v>
      </c>
      <c r="C32" s="14">
        <v>2</v>
      </c>
      <c r="D32" s="13">
        <f t="shared" si="1"/>
        <v>2.4063214260550976</v>
      </c>
      <c r="G32" s="164">
        <v>1996</v>
      </c>
      <c r="H32" s="164">
        <v>156.85833333333332</v>
      </c>
      <c r="I32" s="164">
        <f t="shared" si="0"/>
        <v>1.3262171492989498</v>
      </c>
      <c r="J32" s="164"/>
    </row>
    <row r="33" spans="2:10">
      <c r="B33" s="139" t="s">
        <v>783</v>
      </c>
      <c r="C33" s="4">
        <v>1.3</v>
      </c>
      <c r="D33" s="13">
        <f t="shared" si="1"/>
        <v>2.4063214260550976</v>
      </c>
      <c r="G33" s="164">
        <v>1997</v>
      </c>
      <c r="H33" s="164">
        <v>160.52500000000001</v>
      </c>
      <c r="I33" s="164">
        <f t="shared" si="0"/>
        <v>1.3572183470725003</v>
      </c>
      <c r="J33" s="164"/>
    </row>
    <row r="34" spans="2:10">
      <c r="B34" s="4" t="s">
        <v>784</v>
      </c>
      <c r="C34" s="4">
        <v>1.3</v>
      </c>
      <c r="D34" s="13">
        <f t="shared" si="1"/>
        <v>2.4063214260550976</v>
      </c>
      <c r="G34" s="164">
        <v>1998</v>
      </c>
      <c r="H34" s="164">
        <v>163.00833333333335</v>
      </c>
      <c r="I34" s="164">
        <f t="shared" si="0"/>
        <v>1.3782146128373141</v>
      </c>
      <c r="J34" s="164"/>
    </row>
    <row r="35" spans="2:10">
      <c r="B35" s="4" t="s">
        <v>786</v>
      </c>
      <c r="C35" s="4">
        <v>1.8</v>
      </c>
      <c r="D35" s="13">
        <f t="shared" si="1"/>
        <v>2.4063214260550976</v>
      </c>
      <c r="G35" s="164">
        <v>1999</v>
      </c>
      <c r="H35" s="164">
        <v>166.58333333333331</v>
      </c>
      <c r="I35" s="164">
        <f t="shared" si="0"/>
        <v>1.4084407806665253</v>
      </c>
      <c r="J35" s="164"/>
    </row>
    <row r="36" spans="2:10">
      <c r="B36" s="4" t="s">
        <v>788</v>
      </c>
      <c r="C36" s="4">
        <v>1.6</v>
      </c>
      <c r="D36" s="13">
        <f t="shared" si="1"/>
        <v>2.4063214260550976</v>
      </c>
      <c r="G36" s="164">
        <v>2000</v>
      </c>
      <c r="H36" s="164">
        <v>172.19166666666669</v>
      </c>
      <c r="I36" s="164">
        <f t="shared" si="0"/>
        <v>1.4558585218065243</v>
      </c>
      <c r="J36" s="164"/>
    </row>
    <row r="37" spans="2:10">
      <c r="B37" s="4" t="s">
        <v>790</v>
      </c>
      <c r="C37" s="4">
        <v>1.9</v>
      </c>
      <c r="D37" s="13">
        <f t="shared" si="1"/>
        <v>2.4063214260550976</v>
      </c>
      <c r="G37" s="164">
        <v>2001</v>
      </c>
      <c r="H37" s="164">
        <v>177.04166666666666</v>
      </c>
      <c r="I37" s="164">
        <f t="shared" si="0"/>
        <v>1.4968646515888111</v>
      </c>
      <c r="J37" s="164"/>
    </row>
    <row r="38" spans="2:10">
      <c r="B38" s="4" t="s">
        <v>792</v>
      </c>
      <c r="C38" s="4">
        <v>1.9</v>
      </c>
      <c r="D38" s="13">
        <f t="shared" si="1"/>
        <v>2.4063214260550976</v>
      </c>
      <c r="G38" s="164">
        <v>2002</v>
      </c>
      <c r="H38" s="164">
        <v>179.86666666666667</v>
      </c>
      <c r="I38" s="164">
        <f t="shared" ref="I38:I58" si="2">H38/$H$24</f>
        <v>1.5207496653279784</v>
      </c>
      <c r="J38" s="164"/>
    </row>
    <row r="39" spans="2:10">
      <c r="B39" s="4" t="s">
        <v>793</v>
      </c>
      <c r="C39" s="14">
        <v>1</v>
      </c>
      <c r="D39" s="13">
        <f t="shared" si="1"/>
        <v>2.4063214260550976</v>
      </c>
      <c r="G39" s="164">
        <v>2003</v>
      </c>
      <c r="H39" s="164">
        <v>184</v>
      </c>
      <c r="I39" s="164">
        <f t="shared" si="2"/>
        <v>1.5556964700908895</v>
      </c>
      <c r="J39" s="164"/>
    </row>
    <row r="40" spans="2:10">
      <c r="B40" s="4" t="s">
        <v>795</v>
      </c>
      <c r="C40" s="14">
        <v>1</v>
      </c>
      <c r="D40" s="13">
        <f t="shared" si="1"/>
        <v>2.4063214260550976</v>
      </c>
      <c r="G40" s="164">
        <v>2004</v>
      </c>
      <c r="H40" s="164">
        <v>188.9083333333333</v>
      </c>
      <c r="I40" s="164">
        <f t="shared" si="2"/>
        <v>1.5971958007468465</v>
      </c>
      <c r="J40" s="164"/>
    </row>
    <row r="41" spans="2:10">
      <c r="B41" s="4" t="s">
        <v>798</v>
      </c>
      <c r="C41" s="4">
        <v>1.7</v>
      </c>
      <c r="D41" s="13">
        <f t="shared" si="1"/>
        <v>2.4063214260550976</v>
      </c>
      <c r="G41" s="164">
        <v>2005</v>
      </c>
      <c r="H41" s="164">
        <v>195.26666666666665</v>
      </c>
      <c r="I41" s="164">
        <f t="shared" si="2"/>
        <v>1.6509546959768897</v>
      </c>
      <c r="J41" s="164"/>
    </row>
    <row r="42" spans="2:10">
      <c r="B42" s="4" t="s">
        <v>800</v>
      </c>
      <c r="C42" s="4">
        <v>1.3</v>
      </c>
      <c r="D42" s="13">
        <f t="shared" si="1"/>
        <v>2.4063214260550976</v>
      </c>
      <c r="G42" s="164">
        <v>2006</v>
      </c>
      <c r="H42" s="164">
        <v>201.55833333333337</v>
      </c>
      <c r="I42" s="164">
        <f t="shared" si="2"/>
        <v>1.7041499330655958</v>
      </c>
      <c r="J42" s="164"/>
    </row>
    <row r="43" spans="2:10">
      <c r="B43" s="4" t="s">
        <v>358</v>
      </c>
      <c r="C43" s="14">
        <v>1</v>
      </c>
      <c r="D43" s="13">
        <f t="shared" si="1"/>
        <v>2.4063214260550976</v>
      </c>
      <c r="G43" s="164">
        <v>2007</v>
      </c>
      <c r="H43" s="164">
        <v>207.34416666666667</v>
      </c>
      <c r="I43" s="164">
        <f t="shared" si="2"/>
        <v>1.7530684140069046</v>
      </c>
      <c r="J43" s="164"/>
    </row>
    <row r="44" spans="2:10">
      <c r="C44" s="13"/>
      <c r="G44" s="164">
        <v>2008</v>
      </c>
      <c r="H44" s="164">
        <v>215.25424999999998</v>
      </c>
      <c r="I44" s="164">
        <f t="shared" si="2"/>
        <v>1.8199471570492491</v>
      </c>
      <c r="J44" s="164"/>
    </row>
    <row r="45" spans="2:10">
      <c r="B45" s="139" t="s">
        <v>806</v>
      </c>
      <c r="C45" s="164">
        <f>H58/$H$24</f>
        <v>2.4063214260550976</v>
      </c>
      <c r="G45" s="164">
        <v>2009</v>
      </c>
      <c r="H45" s="164">
        <v>214.56466666666668</v>
      </c>
      <c r="I45" s="164">
        <f t="shared" si="2"/>
        <v>1.814116818149792</v>
      </c>
      <c r="J45" s="164"/>
    </row>
    <row r="46" spans="2:10">
      <c r="B46" s="139" t="s">
        <v>807</v>
      </c>
      <c r="C46" s="4">
        <f>H58/H47</f>
        <v>1.2653559959037837</v>
      </c>
      <c r="G46" s="164">
        <v>2010</v>
      </c>
      <c r="H46" s="164">
        <v>218.07616666666672</v>
      </c>
      <c r="I46" s="164">
        <f t="shared" si="2"/>
        <v>1.8438061015993801</v>
      </c>
      <c r="J46" s="164"/>
    </row>
    <row r="47" spans="2:10">
      <c r="B47" s="139" t="s">
        <v>808</v>
      </c>
      <c r="C47" s="4">
        <f>H58/H51</f>
        <v>1.2008673634969647</v>
      </c>
      <c r="D47" s="164"/>
      <c r="G47" s="164">
        <v>2011</v>
      </c>
      <c r="H47" s="164">
        <v>224.923</v>
      </c>
      <c r="I47" s="164">
        <f t="shared" si="2"/>
        <v>1.9016952018600715</v>
      </c>
      <c r="J47" s="164"/>
    </row>
    <row r="48" spans="2:10">
      <c r="B48" s="139" t="s">
        <v>809</v>
      </c>
      <c r="C48" s="4">
        <f>C45/I57</f>
        <v>1.0503468308532609</v>
      </c>
      <c r="G48" s="164">
        <v>2012</v>
      </c>
      <c r="H48" s="164">
        <v>229.58608333333328</v>
      </c>
      <c r="I48" s="164">
        <f t="shared" si="2"/>
        <v>1.9411209751285836</v>
      </c>
      <c r="J48" s="164"/>
    </row>
    <row r="49" spans="7:13">
      <c r="G49" s="164">
        <v>2013</v>
      </c>
      <c r="H49" s="164">
        <v>232.95174999999998</v>
      </c>
      <c r="I49" s="164">
        <f t="shared" si="2"/>
        <v>1.9695772563939966</v>
      </c>
      <c r="J49" s="164"/>
      <c r="K49" s="139"/>
      <c r="L49" s="139"/>
      <c r="M49" s="139"/>
    </row>
    <row r="50" spans="7:13">
      <c r="G50" s="164">
        <v>2014</v>
      </c>
      <c r="H50" s="164">
        <v>236.715</v>
      </c>
      <c r="I50" s="164">
        <f t="shared" si="2"/>
        <v>2.0013950538998095</v>
      </c>
      <c r="J50" s="164"/>
      <c r="K50" s="139"/>
      <c r="L50" s="139"/>
      <c r="M50" s="139"/>
    </row>
    <row r="51" spans="7:13">
      <c r="G51" s="164">
        <v>2015</v>
      </c>
      <c r="H51" s="164">
        <v>237.00174999999999</v>
      </c>
      <c r="I51" s="164">
        <f t="shared" si="2"/>
        <v>2.0038194884802363</v>
      </c>
      <c r="J51" s="164"/>
      <c r="K51" s="139"/>
      <c r="L51" s="139"/>
      <c r="M51" s="139"/>
    </row>
    <row r="52" spans="7:13">
      <c r="G52" s="164">
        <v>2016</v>
      </c>
      <c r="H52" s="164">
        <v>240.00541666666666</v>
      </c>
      <c r="I52" s="164">
        <f t="shared" si="2"/>
        <v>2.0292151060381873</v>
      </c>
      <c r="J52" s="164"/>
      <c r="K52" s="139"/>
      <c r="L52" s="139"/>
      <c r="M52" s="139"/>
    </row>
    <row r="53" spans="7:13">
      <c r="G53" s="164">
        <v>2017</v>
      </c>
      <c r="H53" s="164">
        <v>245.12100000000001</v>
      </c>
      <c r="I53" s="164">
        <f t="shared" si="2"/>
        <v>2.0724667089410271</v>
      </c>
      <c r="J53" s="164"/>
      <c r="K53" s="139"/>
      <c r="L53" s="139"/>
      <c r="M53" s="139"/>
    </row>
    <row r="54" spans="7:13">
      <c r="G54" s="164">
        <v>2018</v>
      </c>
      <c r="H54" s="164">
        <v>251.0989166666667</v>
      </c>
      <c r="I54" s="164">
        <f t="shared" si="2"/>
        <v>2.1230092299020642</v>
      </c>
      <c r="J54" s="164"/>
      <c r="K54" s="139"/>
      <c r="L54" s="139"/>
      <c r="M54" s="139"/>
    </row>
    <row r="55" spans="7:13">
      <c r="G55" s="164">
        <v>2019</v>
      </c>
      <c r="H55" s="164">
        <v>255.64649999999997</v>
      </c>
      <c r="I55" s="164">
        <f t="shared" si="2"/>
        <v>2.1614584654407096</v>
      </c>
      <c r="J55" s="164"/>
      <c r="K55" s="139"/>
      <c r="L55" s="139"/>
      <c r="M55" s="139"/>
    </row>
    <row r="56" spans="7:13">
      <c r="G56" s="164">
        <v>2020</v>
      </c>
      <c r="H56" s="164">
        <v>258.83824999999996</v>
      </c>
      <c r="I56" s="164">
        <f t="shared" si="2"/>
        <v>2.1884443035299084</v>
      </c>
      <c r="J56" s="164"/>
      <c r="K56" s="139"/>
      <c r="L56" s="139"/>
      <c r="M56" s="139"/>
    </row>
    <row r="57" spans="7:13">
      <c r="G57" s="164">
        <v>2021</v>
      </c>
      <c r="H57" s="164">
        <v>270.96541666666667</v>
      </c>
      <c r="I57" s="164">
        <f t="shared" si="2"/>
        <v>2.2909779468752198</v>
      </c>
      <c r="J57" s="164"/>
      <c r="K57" s="139"/>
      <c r="L57" s="139"/>
      <c r="M57" s="139"/>
    </row>
    <row r="58" spans="7:13">
      <c r="G58" s="164">
        <v>2022</v>
      </c>
      <c r="H58" s="164">
        <v>284.60766666666672</v>
      </c>
      <c r="I58" s="164">
        <f t="shared" si="2"/>
        <v>2.4063214260550976</v>
      </c>
      <c r="J58" s="164"/>
      <c r="K58" s="139"/>
      <c r="L58" s="139"/>
      <c r="M58" s="139"/>
    </row>
    <row r="59" spans="7:13">
      <c r="J59" s="164"/>
      <c r="K59" s="139"/>
      <c r="L59" s="139"/>
      <c r="M59" s="139"/>
    </row>
    <row r="60" spans="7:13">
      <c r="J60" s="164"/>
      <c r="K60" s="164"/>
      <c r="L60" s="164"/>
      <c r="M60" s="164"/>
    </row>
    <row r="61" spans="7:13">
      <c r="J61" s="164"/>
      <c r="K61" s="139"/>
      <c r="L61" s="139"/>
      <c r="M61" s="139"/>
    </row>
    <row r="62" spans="7:13">
      <c r="J62" s="164"/>
      <c r="K62" s="139"/>
      <c r="L62" s="139"/>
      <c r="M62" s="139"/>
    </row>
    <row r="63" spans="7:13">
      <c r="J63" s="164"/>
      <c r="K63" s="164"/>
      <c r="L63" s="164"/>
      <c r="M63" s="164"/>
    </row>
    <row r="64" spans="7:13">
      <c r="J64" s="164"/>
      <c r="K64" s="164"/>
      <c r="L64" s="164"/>
      <c r="M64" s="164"/>
    </row>
    <row r="65" spans="10:13">
      <c r="J65" s="164"/>
      <c r="K65" s="164"/>
      <c r="L65" s="164"/>
      <c r="M65" s="164"/>
    </row>
    <row r="66" spans="10:13">
      <c r="J66" s="164"/>
      <c r="K66" s="164"/>
      <c r="L66" s="164"/>
      <c r="M66" s="164"/>
    </row>
    <row r="67" spans="10:13">
      <c r="J67" s="164"/>
      <c r="K67" s="164"/>
      <c r="L67" s="164"/>
      <c r="M67" s="164"/>
    </row>
    <row r="68" spans="10:13">
      <c r="J68" s="164"/>
      <c r="K68" s="164"/>
      <c r="L68" s="164"/>
      <c r="M68" s="164"/>
    </row>
    <row r="69" spans="10:13">
      <c r="J69" s="164"/>
      <c r="K69" s="164"/>
      <c r="L69" s="164"/>
      <c r="M69" s="164"/>
    </row>
    <row r="70" spans="10:13">
      <c r="J70" s="164"/>
      <c r="K70" s="164"/>
      <c r="L70" s="164"/>
      <c r="M70" s="164"/>
    </row>
    <row r="71" spans="10:13">
      <c r="J71" s="164"/>
      <c r="K71" s="164"/>
      <c r="L71" s="164"/>
      <c r="M71" s="164"/>
    </row>
    <row r="72" spans="10:13">
      <c r="J72" s="164"/>
      <c r="K72" s="164"/>
      <c r="L72" s="164"/>
      <c r="M72" s="164"/>
    </row>
    <row r="73" spans="10:13">
      <c r="J73" s="164"/>
      <c r="K73" s="164"/>
      <c r="L73" s="164"/>
      <c r="M73" s="164"/>
    </row>
    <row r="74" spans="10:13">
      <c r="J74" s="164"/>
      <c r="K74" s="164"/>
      <c r="L74" s="164"/>
      <c r="M74" s="164"/>
    </row>
    <row r="75" spans="10:13">
      <c r="J75" s="164"/>
      <c r="K75" s="164"/>
      <c r="L75" s="164"/>
      <c r="M75" s="164"/>
    </row>
    <row r="76" spans="10:13">
      <c r="J76" s="164"/>
      <c r="K76" s="164"/>
      <c r="L76" s="164"/>
      <c r="M76" s="164"/>
    </row>
    <row r="77" spans="10:13">
      <c r="J77" s="164"/>
      <c r="K77" s="164"/>
      <c r="L77" s="164"/>
      <c r="M77" s="164"/>
    </row>
    <row r="78" spans="10:13">
      <c r="J78" s="164"/>
      <c r="K78" s="164"/>
      <c r="L78" s="164"/>
      <c r="M78" s="164"/>
    </row>
    <row r="79" spans="10:13">
      <c r="J79" s="164"/>
      <c r="K79" s="164"/>
      <c r="L79" s="164"/>
      <c r="M79" s="164"/>
    </row>
    <row r="80" spans="10:13">
      <c r="J80" s="164"/>
      <c r="K80" s="164"/>
      <c r="L80" s="164"/>
      <c r="M80" s="164"/>
    </row>
    <row r="81" spans="10:13">
      <c r="J81" s="164"/>
      <c r="K81" s="164"/>
      <c r="L81" s="164"/>
      <c r="M81" s="164"/>
    </row>
    <row r="82" spans="10:13">
      <c r="J82" s="164"/>
      <c r="K82" s="164"/>
      <c r="L82" s="164"/>
      <c r="M82" s="164"/>
    </row>
    <row r="83" spans="10:13">
      <c r="J83" s="164"/>
      <c r="K83" s="164"/>
      <c r="L83" s="164"/>
      <c r="M83" s="164"/>
    </row>
    <row r="84" spans="10:13">
      <c r="J84" s="164"/>
      <c r="K84" s="164"/>
      <c r="L84" s="164"/>
      <c r="M84" s="164"/>
    </row>
    <row r="85" spans="10:13">
      <c r="J85" s="164"/>
      <c r="K85" s="164"/>
      <c r="L85" s="164"/>
      <c r="M85" s="164"/>
    </row>
    <row r="86" spans="10:13">
      <c r="J86" s="164"/>
      <c r="K86" s="164"/>
      <c r="L86" s="164"/>
      <c r="M86" s="164"/>
    </row>
    <row r="87" spans="10:13">
      <c r="J87" s="164"/>
      <c r="K87" s="164"/>
      <c r="L87" s="164"/>
      <c r="M87" s="164"/>
    </row>
    <row r="88" spans="10:13">
      <c r="J88" s="164"/>
      <c r="K88" s="164"/>
      <c r="L88" s="164"/>
      <c r="M88" s="164"/>
    </row>
    <row r="89" spans="10:13">
      <c r="J89" s="164"/>
      <c r="K89" s="164"/>
      <c r="L89" s="164"/>
      <c r="M89" s="164"/>
    </row>
    <row r="90" spans="10:13">
      <c r="J90" s="164"/>
      <c r="K90" s="164"/>
      <c r="L90" s="164"/>
      <c r="M90" s="164"/>
    </row>
    <row r="91" spans="10:13">
      <c r="J91" s="164"/>
      <c r="K91" s="164"/>
      <c r="L91" s="164"/>
      <c r="M91" s="164"/>
    </row>
    <row r="92" spans="10:13">
      <c r="J92" s="164"/>
      <c r="K92" s="164"/>
      <c r="L92" s="164"/>
      <c r="M92" s="164"/>
    </row>
    <row r="93" spans="10:13">
      <c r="J93" s="164"/>
      <c r="K93" s="164"/>
      <c r="L93" s="164"/>
      <c r="M93" s="164"/>
    </row>
    <row r="94" spans="10:13">
      <c r="J94" s="164"/>
      <c r="K94" s="164"/>
      <c r="L94" s="164"/>
      <c r="M94" s="164"/>
    </row>
    <row r="95" spans="10:13">
      <c r="J95" s="164"/>
      <c r="K95" s="164"/>
      <c r="L95" s="164"/>
      <c r="M95" s="164"/>
    </row>
    <row r="96" spans="10:13">
      <c r="J96" s="164"/>
      <c r="K96" s="164"/>
      <c r="L96" s="164"/>
      <c r="M96" s="164"/>
    </row>
    <row r="97" spans="10:13">
      <c r="J97" s="164"/>
      <c r="K97" s="164"/>
      <c r="L97" s="164"/>
      <c r="M97" s="164"/>
    </row>
    <row r="98" spans="10:13">
      <c r="J98" s="164"/>
      <c r="K98" s="164"/>
      <c r="L98" s="164"/>
      <c r="M98" s="164"/>
    </row>
    <row r="99" spans="10:13">
      <c r="J99" s="164"/>
      <c r="K99" s="164"/>
      <c r="L99" s="164"/>
      <c r="M99" s="164"/>
    </row>
    <row r="100" spans="10:13">
      <c r="J100" s="164"/>
      <c r="K100" s="164"/>
      <c r="L100" s="164"/>
      <c r="M100" s="164"/>
    </row>
    <row r="101" spans="10:13">
      <c r="J101" s="164"/>
      <c r="K101" s="164"/>
      <c r="L101" s="164"/>
      <c r="M101" s="164"/>
    </row>
    <row r="102" spans="10:13">
      <c r="J102" s="164"/>
      <c r="K102" s="164"/>
      <c r="L102" s="164"/>
      <c r="M102" s="164"/>
    </row>
    <row r="103" spans="10:13">
      <c r="J103" s="164"/>
      <c r="K103" s="164"/>
      <c r="L103" s="164"/>
      <c r="M103" s="164"/>
    </row>
    <row r="104" spans="10:13">
      <c r="J104" s="164"/>
      <c r="K104" s="164"/>
      <c r="L104" s="164"/>
      <c r="M104" s="164"/>
    </row>
    <row r="105" spans="10:13">
      <c r="J105" s="164"/>
      <c r="K105" s="164"/>
      <c r="L105" s="164"/>
      <c r="M105" s="164"/>
    </row>
    <row r="106" spans="10:13">
      <c r="J106" s="164"/>
      <c r="K106" s="164"/>
      <c r="L106" s="164"/>
      <c r="M106" s="164"/>
    </row>
    <row r="107" spans="10:13">
      <c r="J107" s="164"/>
      <c r="K107" s="164"/>
      <c r="L107" s="164"/>
      <c r="M107" s="164"/>
    </row>
    <row r="108" spans="10:13">
      <c r="J108" s="164"/>
      <c r="K108" s="164"/>
      <c r="L108" s="164"/>
      <c r="M108" s="164"/>
    </row>
    <row r="109" spans="10:13">
      <c r="J109" s="164"/>
      <c r="K109" s="164"/>
      <c r="L109" s="164"/>
      <c r="M109" s="164"/>
    </row>
    <row r="110" spans="10:13">
      <c r="J110" s="164"/>
      <c r="K110" s="164"/>
      <c r="L110" s="164"/>
      <c r="M110" s="164"/>
    </row>
    <row r="111" spans="10:13">
      <c r="J111" s="164"/>
      <c r="K111" s="164"/>
      <c r="L111" s="164"/>
      <c r="M111" s="164"/>
    </row>
    <row r="112" spans="10:13">
      <c r="J112" s="164"/>
      <c r="K112" s="164"/>
      <c r="L112" s="164"/>
      <c r="M112" s="164"/>
    </row>
    <row r="113" spans="10:13">
      <c r="J113" s="164"/>
      <c r="K113" s="164"/>
      <c r="L113" s="164"/>
      <c r="M113" s="164"/>
    </row>
    <row r="114" spans="10:13">
      <c r="J114" s="164"/>
      <c r="K114" s="164"/>
      <c r="L114" s="164"/>
      <c r="M114" s="164"/>
    </row>
    <row r="115" spans="10:13">
      <c r="J115" s="164"/>
      <c r="K115" s="164"/>
      <c r="L115" s="164"/>
      <c r="M115" s="164"/>
    </row>
    <row r="116" spans="10:13">
      <c r="J116" s="164"/>
      <c r="K116" s="164"/>
      <c r="L116" s="164"/>
      <c r="M116" s="164"/>
    </row>
    <row r="117" spans="10:13">
      <c r="J117" s="164"/>
      <c r="K117" s="164"/>
      <c r="L117" s="164"/>
      <c r="M117" s="164"/>
    </row>
    <row r="118" spans="10:13">
      <c r="J118" s="164"/>
      <c r="K118" s="164"/>
      <c r="L118" s="164"/>
      <c r="M118" s="164"/>
    </row>
    <row r="119" spans="10:13">
      <c r="J119" s="164"/>
      <c r="K119" s="164"/>
      <c r="L119" s="164"/>
      <c r="M119" s="164"/>
    </row>
    <row r="120" spans="10:13">
      <c r="J120" s="164"/>
      <c r="K120" s="164"/>
      <c r="L120" s="164"/>
      <c r="M120" s="164"/>
    </row>
    <row r="121" spans="10:13">
      <c r="J121" s="164"/>
      <c r="K121" s="164"/>
      <c r="L121" s="164"/>
      <c r="M121" s="164"/>
    </row>
    <row r="122" spans="10:13">
      <c r="J122" s="164"/>
      <c r="K122" s="164"/>
      <c r="L122" s="164"/>
      <c r="M122" s="164"/>
    </row>
    <row r="123" spans="10:13">
      <c r="J123" s="164"/>
      <c r="K123" s="164"/>
      <c r="L123" s="164"/>
      <c r="M123" s="164"/>
    </row>
    <row r="124" spans="10:13">
      <c r="J124" s="164"/>
      <c r="K124" s="164"/>
      <c r="L124" s="164"/>
      <c r="M124" s="164"/>
    </row>
    <row r="125" spans="10:13">
      <c r="J125" s="164"/>
      <c r="K125" s="164"/>
      <c r="L125" s="164"/>
      <c r="M125" s="164"/>
    </row>
    <row r="126" spans="10:13">
      <c r="J126" s="164"/>
      <c r="K126" s="164"/>
      <c r="L126" s="164"/>
      <c r="M126" s="164"/>
    </row>
    <row r="127" spans="10:13">
      <c r="J127" s="164"/>
      <c r="K127" s="164"/>
      <c r="L127" s="164"/>
      <c r="M127" s="164"/>
    </row>
    <row r="128" spans="10:13">
      <c r="J128" s="164"/>
      <c r="K128" s="164"/>
      <c r="L128" s="164"/>
      <c r="M128" s="164"/>
    </row>
    <row r="129" spans="10:13">
      <c r="J129" s="164"/>
      <c r="K129" s="164"/>
      <c r="L129" s="164"/>
      <c r="M129" s="164"/>
    </row>
    <row r="130" spans="10:13">
      <c r="J130" s="164"/>
      <c r="K130" s="164"/>
      <c r="L130" s="164"/>
      <c r="M130" s="164"/>
    </row>
    <row r="131" spans="10:13">
      <c r="J131" s="164"/>
      <c r="K131" s="164"/>
      <c r="L131" s="164"/>
      <c r="M131" s="164"/>
    </row>
    <row r="132" spans="10:13">
      <c r="J132" s="164"/>
      <c r="K132" s="164"/>
      <c r="L132" s="164"/>
      <c r="M132" s="164"/>
    </row>
    <row r="133" spans="10:13">
      <c r="J133" s="164"/>
      <c r="K133" s="164"/>
      <c r="L133" s="164"/>
      <c r="M133" s="164"/>
    </row>
    <row r="134" spans="10:13">
      <c r="J134" s="164"/>
      <c r="K134" s="164"/>
      <c r="L134" s="164"/>
      <c r="M134" s="164"/>
    </row>
    <row r="135" spans="10:13">
      <c r="J135" s="164"/>
      <c r="K135" s="164"/>
      <c r="L135" s="164"/>
      <c r="M135" s="164"/>
    </row>
    <row r="136" spans="10:13">
      <c r="J136" s="164"/>
      <c r="K136" s="164"/>
      <c r="L136" s="164"/>
      <c r="M136" s="164"/>
    </row>
    <row r="137" spans="10:13">
      <c r="J137" s="164"/>
      <c r="K137" s="164"/>
      <c r="L137" s="164"/>
      <c r="M137" s="164"/>
    </row>
    <row r="138" spans="10:13">
      <c r="J138" s="164"/>
      <c r="K138" s="164"/>
      <c r="L138" s="164"/>
      <c r="M138" s="164"/>
    </row>
    <row r="139" spans="10:13">
      <c r="J139" s="164"/>
      <c r="K139" s="164"/>
      <c r="L139" s="164"/>
      <c r="M139" s="164"/>
    </row>
    <row r="140" spans="10:13">
      <c r="J140" s="164"/>
      <c r="K140" s="164"/>
      <c r="L140" s="164"/>
      <c r="M140" s="164"/>
    </row>
    <row r="141" spans="10:13">
      <c r="J141" s="164"/>
      <c r="K141" s="164"/>
      <c r="L141" s="164"/>
      <c r="M141" s="164"/>
    </row>
    <row r="142" spans="10:13">
      <c r="J142" s="164"/>
      <c r="K142" s="164"/>
      <c r="L142" s="164"/>
      <c r="M142" s="164"/>
    </row>
    <row r="143" spans="10:13">
      <c r="J143" s="164"/>
      <c r="K143" s="164"/>
      <c r="L143" s="164"/>
      <c r="M143" s="164"/>
    </row>
    <row r="144" spans="10:13">
      <c r="J144" s="164"/>
      <c r="K144" s="164"/>
      <c r="L144" s="164"/>
      <c r="M144" s="164"/>
    </row>
    <row r="145" spans="10:13">
      <c r="J145" s="164"/>
      <c r="K145" s="164"/>
      <c r="L145" s="164"/>
      <c r="M145" s="164"/>
    </row>
    <row r="146" spans="10:13">
      <c r="J146" s="164"/>
      <c r="K146" s="164"/>
      <c r="L146" s="164"/>
      <c r="M146" s="164"/>
    </row>
    <row r="147" spans="10:13">
      <c r="J147" s="164"/>
      <c r="K147" s="164"/>
      <c r="L147" s="164"/>
      <c r="M147" s="164"/>
    </row>
    <row r="148" spans="10:13">
      <c r="J148" s="164"/>
      <c r="K148" s="164"/>
      <c r="L148" s="164"/>
      <c r="M148" s="164"/>
    </row>
    <row r="149" spans="10:13">
      <c r="J149" s="164"/>
      <c r="K149" s="164"/>
      <c r="L149" s="164"/>
      <c r="M149" s="164"/>
    </row>
    <row r="150" spans="10:13">
      <c r="J150" s="164"/>
      <c r="K150" s="164"/>
      <c r="L150" s="164"/>
      <c r="M150" s="164"/>
    </row>
    <row r="151" spans="10:13">
      <c r="J151" s="164"/>
      <c r="K151" s="164"/>
      <c r="L151" s="164"/>
      <c r="M151" s="164"/>
    </row>
    <row r="152" spans="10:13">
      <c r="J152" s="164"/>
      <c r="K152" s="164"/>
      <c r="L152" s="164"/>
      <c r="M152" s="164"/>
    </row>
    <row r="153" spans="10:13">
      <c r="J153" s="164"/>
      <c r="K153" s="164"/>
      <c r="L153" s="164"/>
      <c r="M153" s="164"/>
    </row>
    <row r="154" spans="10:13">
      <c r="J154" s="164"/>
      <c r="K154" s="164"/>
      <c r="L154" s="164"/>
      <c r="M154" s="164"/>
    </row>
    <row r="155" spans="10:13">
      <c r="J155" s="164"/>
      <c r="K155" s="164"/>
      <c r="L155" s="164"/>
      <c r="M155" s="164"/>
    </row>
    <row r="156" spans="10:13">
      <c r="J156" s="164"/>
      <c r="K156" s="164"/>
      <c r="L156" s="164"/>
      <c r="M156" s="164"/>
    </row>
    <row r="157" spans="10:13">
      <c r="J157" s="164"/>
      <c r="K157" s="164"/>
      <c r="L157" s="164"/>
      <c r="M157" s="164"/>
    </row>
    <row r="158" spans="10:13">
      <c r="J158" s="164"/>
      <c r="K158" s="164"/>
      <c r="L158" s="164"/>
      <c r="M158" s="164"/>
    </row>
    <row r="159" spans="10:13">
      <c r="J159" s="164"/>
      <c r="K159" s="164"/>
      <c r="L159" s="164"/>
      <c r="M159" s="164"/>
    </row>
    <row r="160" spans="10:13">
      <c r="J160" s="164"/>
      <c r="K160" s="164"/>
      <c r="L160" s="164"/>
      <c r="M160" s="164"/>
    </row>
    <row r="161" spans="10:13">
      <c r="J161" s="164"/>
      <c r="K161" s="164"/>
      <c r="L161" s="164"/>
      <c r="M161" s="164"/>
    </row>
    <row r="162" spans="10:13">
      <c r="J162" s="164"/>
      <c r="K162" s="164"/>
      <c r="L162" s="164"/>
      <c r="M162" s="164"/>
    </row>
    <row r="163" spans="10:13">
      <c r="J163" s="164"/>
      <c r="K163" s="164"/>
      <c r="L163" s="164"/>
      <c r="M163" s="164"/>
    </row>
    <row r="164" spans="10:13">
      <c r="J164" s="164"/>
      <c r="K164" s="164"/>
      <c r="L164" s="164"/>
      <c r="M164" s="164"/>
    </row>
    <row r="165" spans="10:13">
      <c r="J165" s="164"/>
      <c r="K165" s="164"/>
      <c r="L165" s="164"/>
      <c r="M165" s="164"/>
    </row>
    <row r="166" spans="10:13">
      <c r="J166" s="164"/>
      <c r="K166" s="164"/>
      <c r="L166" s="164"/>
      <c r="M166" s="164"/>
    </row>
    <row r="167" spans="10:13">
      <c r="J167" s="164"/>
      <c r="K167" s="164"/>
      <c r="L167" s="164"/>
      <c r="M167" s="164"/>
    </row>
    <row r="168" spans="10:13">
      <c r="J168" s="164"/>
      <c r="K168" s="164"/>
      <c r="L168" s="164"/>
      <c r="M168" s="164"/>
    </row>
    <row r="169" spans="10:13">
      <c r="J169" s="164"/>
      <c r="K169" s="164"/>
      <c r="L169" s="164"/>
      <c r="M169" s="164"/>
    </row>
    <row r="170" spans="10:13">
      <c r="J170" s="164"/>
      <c r="K170" s="164"/>
      <c r="L170" s="164"/>
      <c r="M170" s="164"/>
    </row>
    <row r="171" spans="10:13">
      <c r="J171" s="164"/>
      <c r="K171" s="164"/>
      <c r="L171" s="164"/>
      <c r="M171" s="164"/>
    </row>
    <row r="172" spans="10:13">
      <c r="J172" s="164"/>
      <c r="K172" s="164"/>
      <c r="L172" s="164"/>
      <c r="M172" s="164"/>
    </row>
    <row r="173" spans="10:13">
      <c r="J173" s="164"/>
      <c r="K173" s="164"/>
      <c r="L173" s="164"/>
      <c r="M173" s="164"/>
    </row>
    <row r="174" spans="10:13">
      <c r="J174" s="164"/>
      <c r="K174" s="164"/>
      <c r="L174" s="164"/>
      <c r="M174" s="164"/>
    </row>
    <row r="175" spans="10:13">
      <c r="J175" s="164"/>
      <c r="K175" s="164"/>
      <c r="L175" s="164"/>
      <c r="M175" s="164"/>
    </row>
    <row r="176" spans="10:13">
      <c r="J176" s="164"/>
      <c r="K176" s="164"/>
      <c r="L176" s="164"/>
      <c r="M176" s="164"/>
    </row>
    <row r="177" spans="10:13">
      <c r="J177" s="164"/>
      <c r="K177" s="164"/>
      <c r="L177" s="164"/>
      <c r="M177" s="164"/>
    </row>
    <row r="178" spans="10:13">
      <c r="J178" s="164"/>
      <c r="K178" s="164"/>
      <c r="L178" s="164"/>
      <c r="M178" s="164"/>
    </row>
    <row r="179" spans="10:13">
      <c r="J179" s="164"/>
      <c r="K179" s="164"/>
      <c r="L179" s="164"/>
      <c r="M179" s="164"/>
    </row>
    <row r="180" spans="10:13">
      <c r="J180" s="164"/>
      <c r="K180" s="164"/>
      <c r="L180" s="164"/>
      <c r="M180" s="164"/>
    </row>
    <row r="181" spans="10:13">
      <c r="J181" s="164"/>
      <c r="K181" s="164"/>
      <c r="L181" s="164"/>
      <c r="M181" s="164"/>
    </row>
    <row r="182" spans="10:13">
      <c r="J182" s="164"/>
      <c r="K182" s="164"/>
      <c r="L182" s="164"/>
      <c r="M182" s="164"/>
    </row>
    <row r="183" spans="10:13">
      <c r="J183" s="164"/>
      <c r="K183" s="164"/>
      <c r="L183" s="164"/>
      <c r="M183" s="164"/>
    </row>
    <row r="184" spans="10:13">
      <c r="J184" s="164"/>
      <c r="K184" s="164"/>
      <c r="L184" s="164"/>
      <c r="M184" s="164"/>
    </row>
    <row r="185" spans="10:13">
      <c r="J185" s="164"/>
      <c r="K185" s="164"/>
      <c r="L185" s="164"/>
      <c r="M185" s="164"/>
    </row>
    <row r="186" spans="10:13">
      <c r="J186" s="164"/>
      <c r="K186" s="164"/>
      <c r="L186" s="164"/>
      <c r="M186" s="164"/>
    </row>
    <row r="187" spans="10:13">
      <c r="J187" s="164"/>
      <c r="K187" s="164"/>
      <c r="L187" s="164"/>
      <c r="M187" s="164"/>
    </row>
    <row r="188" spans="10:13">
      <c r="J188" s="164"/>
      <c r="K188" s="164"/>
      <c r="L188" s="164"/>
      <c r="M188" s="164"/>
    </row>
    <row r="189" spans="10:13">
      <c r="J189" s="164"/>
      <c r="K189" s="164"/>
      <c r="L189" s="164"/>
      <c r="M189" s="164"/>
    </row>
    <row r="190" spans="10:13">
      <c r="J190" s="164"/>
      <c r="K190" s="164"/>
      <c r="L190" s="164"/>
      <c r="M190" s="164"/>
    </row>
    <row r="191" spans="10:13">
      <c r="J191" s="164"/>
      <c r="K191" s="164"/>
      <c r="L191" s="164"/>
      <c r="M191" s="164"/>
    </row>
    <row r="192" spans="10:13">
      <c r="J192" s="164"/>
      <c r="K192" s="164"/>
      <c r="L192" s="164"/>
      <c r="M192" s="164"/>
    </row>
    <row r="193" spans="10:13">
      <c r="J193" s="164"/>
      <c r="K193" s="164"/>
      <c r="L193" s="164"/>
      <c r="M193" s="164"/>
    </row>
    <row r="194" spans="10:13">
      <c r="J194" s="164"/>
      <c r="K194" s="164"/>
      <c r="L194" s="164"/>
      <c r="M194" s="164"/>
    </row>
    <row r="195" spans="10:13">
      <c r="J195" s="164"/>
      <c r="K195" s="164"/>
      <c r="L195" s="164"/>
      <c r="M195" s="164"/>
    </row>
    <row r="196" spans="10:13">
      <c r="J196" s="164"/>
      <c r="K196" s="164"/>
      <c r="L196" s="164"/>
      <c r="M196" s="164"/>
    </row>
    <row r="197" spans="10:13">
      <c r="J197" s="164"/>
      <c r="K197" s="164"/>
      <c r="L197" s="164"/>
      <c r="M197" s="164"/>
    </row>
    <row r="198" spans="10:13">
      <c r="J198" s="164"/>
      <c r="K198" s="164"/>
      <c r="L198" s="164"/>
      <c r="M198" s="164"/>
    </row>
    <row r="199" spans="10:13">
      <c r="J199" s="164"/>
      <c r="K199" s="164"/>
      <c r="L199" s="164"/>
      <c r="M199" s="164"/>
    </row>
    <row r="200" spans="10:13">
      <c r="J200" s="164"/>
      <c r="K200" s="164"/>
      <c r="L200" s="164"/>
      <c r="M200" s="164"/>
    </row>
    <row r="201" spans="10:13">
      <c r="J201" s="164"/>
      <c r="K201" s="164"/>
      <c r="L201" s="164"/>
      <c r="M201" s="164"/>
    </row>
    <row r="202" spans="10:13">
      <c r="J202" s="164"/>
      <c r="K202" s="164"/>
      <c r="L202" s="164"/>
      <c r="M202" s="164"/>
    </row>
    <row r="203" spans="10:13">
      <c r="J203" s="164"/>
      <c r="K203" s="164"/>
      <c r="L203" s="164"/>
      <c r="M203" s="164"/>
    </row>
    <row r="204" spans="10:13">
      <c r="J204" s="164"/>
      <c r="K204" s="164"/>
      <c r="L204" s="164"/>
      <c r="M204" s="164"/>
    </row>
    <row r="205" spans="10:13">
      <c r="J205" s="164"/>
      <c r="K205" s="164"/>
      <c r="L205" s="164"/>
      <c r="M205" s="164"/>
    </row>
    <row r="206" spans="10:13">
      <c r="J206" s="164"/>
      <c r="K206" s="164"/>
      <c r="L206" s="164"/>
      <c r="M206" s="164"/>
    </row>
    <row r="207" spans="10:13">
      <c r="J207" s="164"/>
      <c r="K207" s="164"/>
      <c r="L207" s="164"/>
      <c r="M207" s="164"/>
    </row>
    <row r="208" spans="10:13">
      <c r="J208" s="164"/>
      <c r="K208" s="164"/>
      <c r="L208" s="164"/>
      <c r="M208" s="164"/>
    </row>
    <row r="209" spans="10:13">
      <c r="J209" s="164"/>
      <c r="K209" s="164"/>
      <c r="L209" s="164"/>
      <c r="M209" s="164"/>
    </row>
    <row r="210" spans="10:13">
      <c r="J210" s="164"/>
      <c r="K210" s="164"/>
      <c r="L210" s="164"/>
      <c r="M210" s="164"/>
    </row>
    <row r="211" spans="10:13">
      <c r="J211" s="164"/>
      <c r="K211" s="164"/>
      <c r="L211" s="164"/>
      <c r="M211" s="164"/>
    </row>
    <row r="212" spans="10:13">
      <c r="J212" s="164"/>
      <c r="K212" s="164"/>
      <c r="L212" s="164"/>
      <c r="M212" s="164"/>
    </row>
    <row r="213" spans="10:13">
      <c r="J213" s="164"/>
      <c r="K213" s="164"/>
      <c r="L213" s="164"/>
      <c r="M213" s="164"/>
    </row>
    <row r="214" spans="10:13">
      <c r="J214" s="164"/>
      <c r="K214" s="164"/>
      <c r="L214" s="164"/>
      <c r="M214" s="164"/>
    </row>
    <row r="215" spans="10:13">
      <c r="J215" s="164"/>
      <c r="K215" s="164"/>
      <c r="L215" s="164"/>
      <c r="M215" s="164"/>
    </row>
    <row r="216" spans="10:13">
      <c r="J216" s="164"/>
      <c r="K216" s="164"/>
      <c r="L216" s="164"/>
      <c r="M216" s="164"/>
    </row>
    <row r="217" spans="10:13">
      <c r="J217" s="164"/>
      <c r="K217" s="164"/>
      <c r="L217" s="164"/>
      <c r="M217" s="164"/>
    </row>
    <row r="218" spans="10:13">
      <c r="J218" s="164"/>
      <c r="K218" s="164"/>
      <c r="L218" s="164"/>
      <c r="M218" s="164"/>
    </row>
    <row r="219" spans="10:13">
      <c r="J219" s="164"/>
      <c r="K219" s="164"/>
      <c r="L219" s="164"/>
      <c r="M219" s="164"/>
    </row>
    <row r="220" spans="10:13">
      <c r="J220" s="164"/>
      <c r="K220" s="164"/>
      <c r="L220" s="164"/>
      <c r="M220" s="164"/>
    </row>
    <row r="221" spans="10:13">
      <c r="J221" s="164"/>
      <c r="K221" s="164"/>
      <c r="L221" s="164"/>
      <c r="M221" s="164"/>
    </row>
    <row r="222" spans="10:13">
      <c r="J222" s="164"/>
      <c r="K222" s="164"/>
      <c r="L222" s="164"/>
      <c r="M222" s="164"/>
    </row>
    <row r="223" spans="10:13">
      <c r="J223" s="164"/>
      <c r="K223" s="164"/>
      <c r="L223" s="164"/>
      <c r="M223" s="164"/>
    </row>
    <row r="224" spans="10:13">
      <c r="J224" s="164"/>
      <c r="K224" s="164"/>
      <c r="L224" s="164"/>
      <c r="M224" s="164"/>
    </row>
    <row r="225" spans="10:13">
      <c r="J225" s="164"/>
      <c r="K225" s="164"/>
      <c r="L225" s="164"/>
      <c r="M225" s="164"/>
    </row>
    <row r="226" spans="10:13">
      <c r="J226" s="164"/>
      <c r="K226" s="164"/>
      <c r="L226" s="164"/>
      <c r="M226" s="164"/>
    </row>
    <row r="227" spans="10:13">
      <c r="J227" s="164"/>
      <c r="K227" s="164"/>
      <c r="L227" s="164"/>
      <c r="M227" s="164"/>
    </row>
    <row r="228" spans="10:13">
      <c r="J228" s="164"/>
      <c r="K228" s="164"/>
      <c r="L228" s="164"/>
      <c r="M228" s="164"/>
    </row>
    <row r="229" spans="10:13">
      <c r="J229" s="164"/>
      <c r="K229" s="164"/>
      <c r="L229" s="164"/>
      <c r="M229" s="164"/>
    </row>
    <row r="230" spans="10:13">
      <c r="J230" s="164"/>
      <c r="K230" s="164"/>
      <c r="L230" s="164"/>
      <c r="M230" s="164"/>
    </row>
    <row r="231" spans="10:13">
      <c r="J231" s="164"/>
      <c r="K231" s="164"/>
      <c r="L231" s="164"/>
      <c r="M231" s="164"/>
    </row>
    <row r="232" spans="10:13">
      <c r="J232" s="164"/>
      <c r="K232" s="164"/>
      <c r="L232" s="164"/>
      <c r="M232" s="164"/>
    </row>
    <row r="233" spans="10:13">
      <c r="J233" s="164"/>
      <c r="K233" s="164"/>
      <c r="L233" s="164"/>
      <c r="M233" s="164"/>
    </row>
    <row r="234" spans="10:13">
      <c r="J234" s="164"/>
      <c r="K234" s="164"/>
      <c r="L234" s="164"/>
      <c r="M234" s="164"/>
    </row>
    <row r="235" spans="10:13">
      <c r="J235" s="164"/>
      <c r="K235" s="164"/>
      <c r="L235" s="164"/>
      <c r="M235" s="164"/>
    </row>
    <row r="236" spans="10:13">
      <c r="J236" s="164"/>
      <c r="K236" s="164"/>
      <c r="L236" s="164"/>
      <c r="M236" s="164"/>
    </row>
    <row r="237" spans="10:13">
      <c r="J237" s="164"/>
      <c r="K237" s="164"/>
      <c r="L237" s="164"/>
      <c r="M237" s="164"/>
    </row>
    <row r="238" spans="10:13">
      <c r="J238" s="164"/>
      <c r="K238" s="164"/>
      <c r="L238" s="164"/>
      <c r="M238" s="164"/>
    </row>
    <row r="239" spans="10:13">
      <c r="J239" s="164"/>
      <c r="K239" s="164"/>
      <c r="L239" s="164"/>
      <c r="M239" s="164"/>
    </row>
    <row r="240" spans="10:13">
      <c r="J240" s="164"/>
      <c r="K240" s="164"/>
      <c r="L240" s="164"/>
      <c r="M240" s="164"/>
    </row>
    <row r="241" spans="10:13">
      <c r="J241" s="164"/>
      <c r="K241" s="164"/>
      <c r="L241" s="164"/>
      <c r="M241" s="164"/>
    </row>
    <row r="242" spans="10:13">
      <c r="J242" s="164"/>
      <c r="K242" s="164"/>
      <c r="L242" s="164"/>
      <c r="M242" s="164"/>
    </row>
    <row r="243" spans="10:13">
      <c r="J243" s="164"/>
      <c r="K243" s="164"/>
      <c r="L243" s="164"/>
      <c r="M243" s="164"/>
    </row>
    <row r="244" spans="10:13">
      <c r="J244" s="164"/>
      <c r="K244" s="164"/>
      <c r="L244" s="164"/>
      <c r="M244" s="164"/>
    </row>
    <row r="245" spans="10:13">
      <c r="J245" s="164"/>
      <c r="K245" s="164"/>
      <c r="L245" s="164"/>
      <c r="M245" s="164"/>
    </row>
    <row r="246" spans="10:13">
      <c r="J246" s="164"/>
      <c r="K246" s="164"/>
      <c r="L246" s="164"/>
      <c r="M246" s="164"/>
    </row>
    <row r="247" spans="10:13">
      <c r="J247" s="164"/>
      <c r="K247" s="164"/>
      <c r="L247" s="164"/>
      <c r="M247" s="164"/>
    </row>
    <row r="248" spans="10:13">
      <c r="J248" s="164"/>
      <c r="K248" s="164"/>
      <c r="L248" s="164"/>
      <c r="M248" s="164"/>
    </row>
    <row r="249" spans="10:13">
      <c r="J249" s="164"/>
      <c r="K249" s="164"/>
      <c r="L249" s="164"/>
      <c r="M249" s="164"/>
    </row>
    <row r="250" spans="10:13">
      <c r="J250" s="164"/>
      <c r="K250" s="164"/>
      <c r="L250" s="164"/>
      <c r="M250" s="164"/>
    </row>
    <row r="251" spans="10:13">
      <c r="J251" s="164"/>
      <c r="K251" s="164"/>
      <c r="L251" s="164"/>
      <c r="M251" s="164"/>
    </row>
    <row r="252" spans="10:13">
      <c r="J252" s="164"/>
      <c r="K252" s="164"/>
      <c r="L252" s="164"/>
      <c r="M252" s="164"/>
    </row>
    <row r="253" spans="10:13">
      <c r="J253" s="164"/>
      <c r="K253" s="164"/>
      <c r="L253" s="164"/>
      <c r="M253" s="164"/>
    </row>
    <row r="254" spans="10:13">
      <c r="J254" s="164"/>
      <c r="K254" s="164"/>
      <c r="L254" s="164"/>
      <c r="M254" s="164"/>
    </row>
    <row r="255" spans="10:13">
      <c r="J255" s="164"/>
      <c r="K255" s="164"/>
      <c r="L255" s="164"/>
      <c r="M255" s="164"/>
    </row>
    <row r="256" spans="10:13">
      <c r="J256" s="164"/>
      <c r="K256" s="164"/>
      <c r="L256" s="164"/>
      <c r="M256" s="164"/>
    </row>
    <row r="257" spans="10:13">
      <c r="J257" s="164"/>
      <c r="K257" s="164"/>
      <c r="L257" s="164"/>
      <c r="M257" s="164"/>
    </row>
    <row r="258" spans="10:13">
      <c r="J258" s="164"/>
      <c r="K258" s="164"/>
      <c r="L258" s="164"/>
      <c r="M258" s="164"/>
    </row>
    <row r="259" spans="10:13">
      <c r="J259" s="164"/>
      <c r="K259" s="164"/>
      <c r="L259" s="164"/>
      <c r="M259" s="164"/>
    </row>
    <row r="260" spans="10:13">
      <c r="J260" s="164"/>
      <c r="K260" s="164"/>
      <c r="L260" s="164"/>
      <c r="M260" s="164"/>
    </row>
    <row r="261" spans="10:13">
      <c r="J261" s="164"/>
      <c r="K261" s="164"/>
      <c r="L261" s="164"/>
      <c r="M261" s="164"/>
    </row>
    <row r="262" spans="10:13">
      <c r="J262" s="164"/>
      <c r="K262" s="164"/>
      <c r="L262" s="164"/>
      <c r="M262" s="164"/>
    </row>
    <row r="263" spans="10:13">
      <c r="J263" s="164"/>
      <c r="K263" s="164"/>
      <c r="L263" s="164"/>
      <c r="M263" s="164"/>
    </row>
    <row r="264" spans="10:13">
      <c r="J264" s="164"/>
      <c r="K264" s="164"/>
      <c r="L264" s="164"/>
      <c r="M264" s="164"/>
    </row>
    <row r="265" spans="10:13">
      <c r="J265" s="164"/>
      <c r="K265" s="164"/>
      <c r="L265" s="164"/>
      <c r="M265" s="164"/>
    </row>
    <row r="266" spans="10:13">
      <c r="J266" s="164"/>
      <c r="K266" s="164"/>
      <c r="L266" s="164"/>
      <c r="M266" s="164"/>
    </row>
    <row r="267" spans="10:13">
      <c r="J267" s="164"/>
      <c r="K267" s="164"/>
      <c r="L267" s="164"/>
      <c r="M267" s="164"/>
    </row>
    <row r="268" spans="10:13">
      <c r="J268" s="164"/>
      <c r="K268" s="164"/>
      <c r="L268" s="164"/>
      <c r="M268" s="164"/>
    </row>
    <row r="269" spans="10:13">
      <c r="J269" s="164"/>
      <c r="K269" s="164"/>
      <c r="L269" s="164"/>
      <c r="M269" s="164"/>
    </row>
    <row r="270" spans="10:13">
      <c r="J270" s="164"/>
      <c r="K270" s="164"/>
      <c r="L270" s="164"/>
      <c r="M270" s="164"/>
    </row>
    <row r="271" spans="10:13">
      <c r="J271" s="164"/>
      <c r="K271" s="164"/>
      <c r="L271" s="164"/>
      <c r="M271" s="164"/>
    </row>
    <row r="272" spans="10:13">
      <c r="J272" s="164"/>
      <c r="K272" s="164"/>
      <c r="L272" s="164"/>
      <c r="M272" s="164"/>
    </row>
    <row r="273" spans="10:13">
      <c r="J273" s="164"/>
      <c r="K273" s="164"/>
      <c r="L273" s="164"/>
      <c r="M273" s="164"/>
    </row>
    <row r="274" spans="10:13">
      <c r="J274" s="164"/>
      <c r="K274" s="164"/>
      <c r="L274" s="164"/>
      <c r="M274" s="164"/>
    </row>
    <row r="275" spans="10:13">
      <c r="J275" s="164"/>
      <c r="K275" s="164"/>
      <c r="L275" s="164"/>
      <c r="M275" s="164"/>
    </row>
    <row r="276" spans="10:13">
      <c r="J276" s="164"/>
      <c r="K276" s="164"/>
      <c r="L276" s="164"/>
      <c r="M276" s="164"/>
    </row>
    <row r="277" spans="10:13">
      <c r="J277" s="164"/>
      <c r="K277" s="164"/>
      <c r="L277" s="164"/>
      <c r="M277" s="164"/>
    </row>
    <row r="278" spans="10:13">
      <c r="J278" s="164"/>
      <c r="K278" s="164"/>
      <c r="L278" s="164"/>
      <c r="M278" s="164"/>
    </row>
    <row r="279" spans="10:13">
      <c r="J279" s="164"/>
      <c r="K279" s="164"/>
      <c r="L279" s="164"/>
      <c r="M279" s="164"/>
    </row>
    <row r="280" spans="10:13">
      <c r="J280" s="164"/>
      <c r="K280" s="164"/>
      <c r="L280" s="164"/>
      <c r="M280" s="164"/>
    </row>
    <row r="281" spans="10:13">
      <c r="J281" s="164"/>
      <c r="K281" s="164"/>
      <c r="L281" s="164"/>
      <c r="M281" s="164"/>
    </row>
    <row r="282" spans="10:13">
      <c r="J282" s="164"/>
      <c r="K282" s="164"/>
      <c r="L282" s="164"/>
      <c r="M282" s="164"/>
    </row>
    <row r="283" spans="10:13">
      <c r="J283" s="164"/>
      <c r="K283" s="164"/>
      <c r="L283" s="164"/>
      <c r="M283" s="164"/>
    </row>
    <row r="284" spans="10:13">
      <c r="J284" s="164"/>
      <c r="K284" s="164"/>
      <c r="L284" s="164"/>
      <c r="M284" s="164"/>
    </row>
    <row r="285" spans="10:13">
      <c r="J285" s="164"/>
      <c r="K285" s="164"/>
      <c r="L285" s="164"/>
      <c r="M285" s="164"/>
    </row>
    <row r="286" spans="10:13">
      <c r="J286" s="164"/>
      <c r="K286" s="164"/>
      <c r="L286" s="164"/>
      <c r="M286" s="164"/>
    </row>
    <row r="287" spans="10:13">
      <c r="J287" s="164"/>
      <c r="K287" s="164"/>
      <c r="L287" s="164"/>
      <c r="M287" s="164"/>
    </row>
    <row r="288" spans="10:13">
      <c r="J288" s="164"/>
      <c r="K288" s="164"/>
      <c r="L288" s="164"/>
      <c r="M288" s="164"/>
    </row>
    <row r="289" spans="10:13">
      <c r="J289" s="164"/>
      <c r="K289" s="164"/>
      <c r="L289" s="164"/>
      <c r="M289" s="164"/>
    </row>
    <row r="290" spans="10:13">
      <c r="J290" s="164"/>
      <c r="K290" s="164"/>
      <c r="L290" s="164"/>
      <c r="M290" s="164"/>
    </row>
    <row r="291" spans="10:13">
      <c r="J291" s="164"/>
      <c r="K291" s="164"/>
      <c r="L291" s="164"/>
      <c r="M291" s="164"/>
    </row>
    <row r="292" spans="10:13">
      <c r="J292" s="164"/>
      <c r="K292" s="164"/>
      <c r="L292" s="164"/>
      <c r="M292" s="164"/>
    </row>
    <row r="293" spans="10:13">
      <c r="J293" s="164"/>
      <c r="K293" s="164"/>
      <c r="L293" s="164"/>
      <c r="M293" s="164"/>
    </row>
    <row r="294" spans="10:13">
      <c r="J294" s="164"/>
      <c r="K294" s="164"/>
      <c r="L294" s="164"/>
      <c r="M294" s="164"/>
    </row>
    <row r="295" spans="10:13">
      <c r="J295" s="164"/>
      <c r="K295" s="164"/>
      <c r="L295" s="164"/>
      <c r="M295" s="164"/>
    </row>
    <row r="296" spans="10:13">
      <c r="J296" s="164"/>
      <c r="K296" s="164"/>
      <c r="L296" s="164"/>
      <c r="M296" s="164"/>
    </row>
    <row r="297" spans="10:13">
      <c r="J297" s="164"/>
      <c r="K297" s="164"/>
      <c r="L297" s="164"/>
      <c r="M297" s="164"/>
    </row>
    <row r="298" spans="10:13">
      <c r="J298" s="164"/>
      <c r="K298" s="164"/>
      <c r="L298" s="164"/>
      <c r="M298" s="164"/>
    </row>
    <row r="299" spans="10:13">
      <c r="J299" s="164"/>
      <c r="K299" s="164"/>
      <c r="L299" s="164"/>
      <c r="M299" s="164"/>
    </row>
    <row r="300" spans="10:13">
      <c r="J300" s="164"/>
      <c r="K300" s="164"/>
      <c r="L300" s="164"/>
      <c r="M300" s="164"/>
    </row>
    <row r="301" spans="10:13">
      <c r="J301" s="164"/>
      <c r="K301" s="164"/>
      <c r="L301" s="164"/>
      <c r="M301" s="164"/>
    </row>
    <row r="302" spans="10:13">
      <c r="J302" s="164"/>
      <c r="K302" s="164"/>
      <c r="L302" s="164"/>
      <c r="M302" s="164"/>
    </row>
    <row r="303" spans="10:13">
      <c r="J303" s="164"/>
      <c r="K303" s="164"/>
      <c r="L303" s="164"/>
      <c r="M303" s="164"/>
    </row>
    <row r="304" spans="10:13">
      <c r="J304" s="164"/>
      <c r="K304" s="164"/>
      <c r="L304" s="164"/>
      <c r="M304" s="164"/>
    </row>
    <row r="305" spans="10:13">
      <c r="J305" s="164"/>
      <c r="K305" s="164"/>
      <c r="L305" s="164"/>
      <c r="M305" s="164"/>
    </row>
    <row r="306" spans="10:13">
      <c r="J306" s="164"/>
      <c r="K306" s="164"/>
      <c r="L306" s="164"/>
      <c r="M306" s="164"/>
    </row>
    <row r="307" spans="10:13">
      <c r="J307" s="164"/>
      <c r="K307" s="164"/>
      <c r="L307" s="164"/>
      <c r="M307" s="164"/>
    </row>
    <row r="308" spans="10:13">
      <c r="J308" s="164"/>
      <c r="K308" s="164"/>
      <c r="L308" s="164"/>
      <c r="M308" s="164"/>
    </row>
    <row r="309" spans="10:13">
      <c r="J309" s="164"/>
      <c r="K309" s="164"/>
      <c r="L309" s="164"/>
      <c r="M309" s="164"/>
    </row>
    <row r="310" spans="10:13">
      <c r="J310" s="164"/>
      <c r="K310" s="164"/>
      <c r="L310" s="164"/>
      <c r="M310" s="164"/>
    </row>
    <row r="311" spans="10:13">
      <c r="J311" s="164"/>
      <c r="K311" s="164"/>
      <c r="L311" s="164"/>
      <c r="M311" s="164"/>
    </row>
    <row r="312" spans="10:13">
      <c r="J312" s="164"/>
      <c r="K312" s="164"/>
      <c r="L312" s="164"/>
      <c r="M312" s="164"/>
    </row>
    <row r="313" spans="10:13">
      <c r="J313" s="164"/>
      <c r="K313" s="164"/>
      <c r="L313" s="164"/>
      <c r="M313" s="164"/>
    </row>
    <row r="314" spans="10:13">
      <c r="J314" s="164"/>
      <c r="K314" s="164"/>
      <c r="L314" s="164"/>
      <c r="M314" s="164"/>
    </row>
    <row r="315" spans="10:13">
      <c r="J315" s="164"/>
      <c r="K315" s="164"/>
      <c r="L315" s="164"/>
      <c r="M315" s="164"/>
    </row>
    <row r="316" spans="10:13">
      <c r="J316" s="164"/>
      <c r="K316" s="164"/>
      <c r="L316" s="164"/>
      <c r="M316" s="164"/>
    </row>
    <row r="317" spans="10:13">
      <c r="J317" s="164"/>
      <c r="K317" s="164"/>
      <c r="L317" s="164"/>
      <c r="M317" s="164"/>
    </row>
    <row r="318" spans="10:13">
      <c r="J318" s="164"/>
      <c r="K318" s="164"/>
      <c r="L318" s="164"/>
      <c r="M318" s="164"/>
    </row>
    <row r="319" spans="10:13">
      <c r="J319" s="164"/>
      <c r="K319" s="164"/>
      <c r="L319" s="164"/>
      <c r="M319" s="164"/>
    </row>
    <row r="320" spans="10:13">
      <c r="J320" s="164"/>
      <c r="K320" s="164"/>
      <c r="L320" s="164"/>
      <c r="M320" s="164"/>
    </row>
    <row r="321" spans="10:13">
      <c r="J321" s="164"/>
      <c r="K321" s="164"/>
      <c r="L321" s="164"/>
      <c r="M321" s="164"/>
    </row>
    <row r="322" spans="10:13">
      <c r="J322" s="164"/>
      <c r="K322" s="164"/>
      <c r="L322" s="164"/>
      <c r="M322" s="164"/>
    </row>
    <row r="323" spans="10:13">
      <c r="J323" s="164"/>
      <c r="K323" s="164"/>
      <c r="L323" s="164"/>
      <c r="M323" s="164"/>
    </row>
    <row r="324" spans="10:13">
      <c r="J324" s="164"/>
      <c r="K324" s="164"/>
      <c r="L324" s="164"/>
      <c r="M324" s="164"/>
    </row>
    <row r="325" spans="10:13">
      <c r="J325" s="164"/>
      <c r="K325" s="164"/>
      <c r="L325" s="164"/>
      <c r="M325" s="164"/>
    </row>
    <row r="326" spans="10:13">
      <c r="J326" s="164"/>
      <c r="K326" s="164"/>
      <c r="L326" s="164"/>
      <c r="M326" s="164"/>
    </row>
    <row r="327" spans="10:13">
      <c r="J327" s="164"/>
      <c r="K327" s="164"/>
      <c r="L327" s="164"/>
      <c r="M327" s="164"/>
    </row>
    <row r="328" spans="10:13">
      <c r="J328" s="164"/>
      <c r="K328" s="164"/>
      <c r="L328" s="164"/>
      <c r="M328" s="164"/>
    </row>
    <row r="329" spans="10:13">
      <c r="J329" s="164"/>
      <c r="K329" s="164"/>
      <c r="L329" s="164"/>
      <c r="M329" s="164"/>
    </row>
    <row r="330" spans="10:13">
      <c r="J330" s="164"/>
      <c r="K330" s="164"/>
      <c r="L330" s="164"/>
      <c r="M330" s="164"/>
    </row>
    <row r="331" spans="10:13">
      <c r="J331" s="164"/>
      <c r="K331" s="164"/>
      <c r="L331" s="164"/>
      <c r="M331" s="164"/>
    </row>
    <row r="332" spans="10:13">
      <c r="J332" s="164"/>
      <c r="K332" s="164"/>
      <c r="L332" s="164"/>
      <c r="M332" s="164"/>
    </row>
    <row r="333" spans="10:13">
      <c r="J333" s="164"/>
      <c r="K333" s="164"/>
      <c r="L333" s="164"/>
      <c r="M333" s="164"/>
    </row>
    <row r="334" spans="10:13">
      <c r="J334" s="164"/>
      <c r="K334" s="164"/>
      <c r="L334" s="164"/>
      <c r="M334" s="164"/>
    </row>
    <row r="335" spans="10:13">
      <c r="J335" s="164"/>
      <c r="K335" s="164"/>
      <c r="L335" s="164"/>
      <c r="M335" s="164"/>
    </row>
    <row r="336" spans="10:13">
      <c r="J336" s="164"/>
      <c r="K336" s="164"/>
      <c r="L336" s="164"/>
      <c r="M336" s="164"/>
    </row>
    <row r="337" spans="10:13">
      <c r="J337" s="164"/>
      <c r="K337" s="164"/>
      <c r="L337" s="164"/>
      <c r="M337" s="164"/>
    </row>
    <row r="338" spans="10:13">
      <c r="J338" s="164"/>
      <c r="K338" s="164"/>
      <c r="L338" s="164"/>
      <c r="M338" s="164"/>
    </row>
    <row r="339" spans="10:13">
      <c r="J339" s="164"/>
      <c r="K339" s="164"/>
      <c r="L339" s="164"/>
      <c r="M339" s="164"/>
    </row>
    <row r="340" spans="10:13">
      <c r="J340" s="164"/>
      <c r="K340" s="164"/>
      <c r="L340" s="164"/>
      <c r="M340" s="164"/>
    </row>
    <row r="341" spans="10:13">
      <c r="J341" s="164"/>
      <c r="K341" s="164"/>
      <c r="L341" s="164"/>
      <c r="M341" s="164"/>
    </row>
    <row r="342" spans="10:13">
      <c r="J342" s="164"/>
      <c r="K342" s="164"/>
      <c r="L342" s="164"/>
      <c r="M342" s="164"/>
    </row>
    <row r="343" spans="10:13">
      <c r="J343" s="164"/>
      <c r="K343" s="164"/>
      <c r="L343" s="164"/>
      <c r="M343" s="164"/>
    </row>
    <row r="344" spans="10:13">
      <c r="J344" s="164"/>
      <c r="K344" s="164"/>
      <c r="L344" s="164"/>
      <c r="M344" s="164"/>
    </row>
    <row r="345" spans="10:13">
      <c r="J345" s="164"/>
      <c r="K345" s="164"/>
      <c r="L345" s="164"/>
      <c r="M345" s="164"/>
    </row>
    <row r="346" spans="10:13">
      <c r="J346" s="164"/>
      <c r="K346" s="164"/>
      <c r="L346" s="164"/>
      <c r="M346" s="164"/>
    </row>
    <row r="347" spans="10:13">
      <c r="J347" s="164"/>
      <c r="K347" s="164"/>
      <c r="L347" s="164"/>
      <c r="M347" s="164"/>
    </row>
    <row r="348" spans="10:13">
      <c r="J348" s="164"/>
      <c r="K348" s="164"/>
      <c r="L348" s="164"/>
      <c r="M348" s="164"/>
    </row>
    <row r="349" spans="10:13">
      <c r="J349" s="164"/>
      <c r="K349" s="164"/>
      <c r="L349" s="164"/>
      <c r="M349" s="164"/>
    </row>
    <row r="350" spans="10:13">
      <c r="J350" s="164"/>
      <c r="K350" s="164"/>
      <c r="L350" s="164"/>
      <c r="M350" s="164"/>
    </row>
    <row r="351" spans="10:13">
      <c r="J351" s="164"/>
      <c r="K351" s="164"/>
      <c r="L351" s="164"/>
      <c r="M351" s="164"/>
    </row>
    <row r="352" spans="10:13">
      <c r="J352" s="164"/>
      <c r="K352" s="164"/>
      <c r="L352" s="164"/>
      <c r="M352" s="164"/>
    </row>
    <row r="353" spans="10:13">
      <c r="J353" s="164"/>
      <c r="K353" s="164"/>
      <c r="L353" s="164"/>
      <c r="M353" s="164"/>
    </row>
    <row r="354" spans="10:13">
      <c r="J354" s="164"/>
      <c r="K354" s="164"/>
      <c r="L354" s="164"/>
      <c r="M354" s="164"/>
    </row>
    <row r="355" spans="10:13">
      <c r="J355" s="164"/>
      <c r="K355" s="164"/>
      <c r="L355" s="164"/>
      <c r="M355" s="164"/>
    </row>
    <row r="356" spans="10:13">
      <c r="J356" s="164"/>
      <c r="K356" s="164"/>
      <c r="L356" s="164"/>
      <c r="M356" s="164"/>
    </row>
    <row r="357" spans="10:13">
      <c r="J357" s="164"/>
      <c r="K357" s="164"/>
      <c r="L357" s="164"/>
      <c r="M357" s="164"/>
    </row>
    <row r="358" spans="10:13">
      <c r="J358" s="164"/>
      <c r="K358" s="164"/>
      <c r="L358" s="164"/>
      <c r="M358" s="164"/>
    </row>
    <row r="359" spans="10:13">
      <c r="J359" s="164"/>
      <c r="K359" s="164"/>
      <c r="L359" s="164"/>
      <c r="M359" s="164"/>
    </row>
    <row r="360" spans="10:13">
      <c r="J360" s="164"/>
      <c r="K360" s="164"/>
      <c r="L360" s="164"/>
      <c r="M360" s="164"/>
    </row>
    <row r="361" spans="10:13">
      <c r="J361" s="164"/>
      <c r="K361" s="164"/>
      <c r="L361" s="164"/>
      <c r="M361" s="164"/>
    </row>
    <row r="362" spans="10:13">
      <c r="J362" s="164"/>
      <c r="K362" s="164"/>
      <c r="L362" s="164"/>
      <c r="M362" s="164"/>
    </row>
    <row r="363" spans="10:13">
      <c r="J363" s="164"/>
      <c r="K363" s="164"/>
      <c r="L363" s="164"/>
      <c r="M363" s="164"/>
    </row>
    <row r="364" spans="10:13">
      <c r="J364" s="164"/>
      <c r="K364" s="164"/>
      <c r="L364" s="164"/>
      <c r="M364" s="164"/>
    </row>
    <row r="365" spans="10:13">
      <c r="J365" s="164"/>
      <c r="K365" s="164"/>
      <c r="L365" s="164"/>
      <c r="M365" s="164"/>
    </row>
    <row r="366" spans="10:13">
      <c r="J366" s="164"/>
      <c r="K366" s="164"/>
      <c r="L366" s="164"/>
      <c r="M366" s="164"/>
    </row>
    <row r="367" spans="10:13">
      <c r="J367" s="164"/>
      <c r="K367" s="164"/>
      <c r="L367" s="164"/>
      <c r="M367" s="164"/>
    </row>
    <row r="368" spans="10:13">
      <c r="J368" s="164"/>
      <c r="K368" s="164"/>
      <c r="L368" s="164"/>
      <c r="M368" s="164"/>
    </row>
    <row r="369" spans="10:13">
      <c r="J369" s="164"/>
      <c r="K369" s="164"/>
      <c r="L369" s="164"/>
      <c r="M369" s="164"/>
    </row>
    <row r="370" spans="10:13">
      <c r="J370" s="164"/>
      <c r="K370" s="164"/>
      <c r="L370" s="164"/>
      <c r="M370" s="164"/>
    </row>
    <row r="371" spans="10:13">
      <c r="J371" s="164"/>
      <c r="K371" s="164"/>
      <c r="L371" s="164"/>
      <c r="M371" s="164"/>
    </row>
    <row r="372" spans="10:13">
      <c r="J372" s="164"/>
      <c r="K372" s="164"/>
      <c r="L372" s="164"/>
      <c r="M372" s="164"/>
    </row>
    <row r="373" spans="10:13">
      <c r="J373" s="164"/>
      <c r="K373" s="164"/>
      <c r="L373" s="164"/>
      <c r="M373" s="164"/>
    </row>
    <row r="374" spans="10:13">
      <c r="J374" s="164"/>
      <c r="K374" s="164"/>
      <c r="L374" s="164"/>
      <c r="M374" s="164"/>
    </row>
    <row r="375" spans="10:13">
      <c r="J375" s="164"/>
      <c r="K375" s="164"/>
      <c r="L375" s="164"/>
      <c r="M375" s="164"/>
    </row>
    <row r="376" spans="10:13">
      <c r="J376" s="164"/>
      <c r="K376" s="164"/>
      <c r="L376" s="164"/>
      <c r="M376" s="164"/>
    </row>
    <row r="377" spans="10:13">
      <c r="J377" s="164"/>
      <c r="K377" s="164"/>
      <c r="L377" s="164"/>
      <c r="M377" s="164"/>
    </row>
    <row r="378" spans="10:13">
      <c r="J378" s="164"/>
      <c r="K378" s="164"/>
      <c r="L378" s="164"/>
      <c r="M378" s="164"/>
    </row>
    <row r="379" spans="10:13">
      <c r="J379" s="164"/>
      <c r="K379" s="164"/>
      <c r="L379" s="164"/>
      <c r="M379" s="164"/>
    </row>
    <row r="380" spans="10:13">
      <c r="J380" s="164"/>
      <c r="K380" s="164"/>
      <c r="L380" s="164"/>
      <c r="M380" s="164"/>
    </row>
    <row r="381" spans="10:13">
      <c r="J381" s="164"/>
      <c r="K381" s="164"/>
      <c r="L381" s="164"/>
      <c r="M381" s="164"/>
    </row>
    <row r="382" spans="10:13">
      <c r="J382" s="164"/>
      <c r="K382" s="164"/>
      <c r="L382" s="164"/>
      <c r="M382" s="164"/>
    </row>
    <row r="383" spans="10:13">
      <c r="J383" s="164"/>
      <c r="K383" s="164"/>
      <c r="L383" s="164"/>
      <c r="M383" s="164"/>
    </row>
    <row r="384" spans="10:13">
      <c r="J384" s="164"/>
      <c r="K384" s="164"/>
      <c r="L384" s="164"/>
      <c r="M384" s="164"/>
    </row>
    <row r="385" spans="10:13">
      <c r="J385" s="164"/>
      <c r="K385" s="164"/>
      <c r="L385" s="164"/>
      <c r="M385" s="164"/>
    </row>
    <row r="386" spans="10:13">
      <c r="J386" s="164"/>
      <c r="K386" s="164"/>
      <c r="L386" s="164"/>
      <c r="M386" s="164"/>
    </row>
    <row r="387" spans="10:13">
      <c r="J387" s="164"/>
      <c r="K387" s="164"/>
      <c r="L387" s="164"/>
      <c r="M387" s="164"/>
    </row>
    <row r="388" spans="10:13">
      <c r="J388" s="164"/>
      <c r="K388" s="164"/>
      <c r="L388" s="164"/>
      <c r="M388" s="164"/>
    </row>
    <row r="389" spans="10:13">
      <c r="J389" s="164"/>
      <c r="K389" s="164"/>
      <c r="L389" s="164"/>
      <c r="M389" s="164"/>
    </row>
    <row r="390" spans="10:13">
      <c r="J390" s="164"/>
      <c r="K390" s="164"/>
      <c r="L390" s="164"/>
      <c r="M390" s="164"/>
    </row>
    <row r="391" spans="10:13">
      <c r="J391" s="164"/>
      <c r="K391" s="164"/>
      <c r="L391" s="164"/>
      <c r="M391" s="164"/>
    </row>
    <row r="392" spans="10:13">
      <c r="J392" s="164"/>
      <c r="K392" s="164"/>
      <c r="L392" s="164"/>
      <c r="M392" s="164"/>
    </row>
    <row r="393" spans="10:13">
      <c r="J393" s="164"/>
      <c r="K393" s="164"/>
      <c r="L393" s="164"/>
      <c r="M393" s="164"/>
    </row>
    <row r="394" spans="10:13">
      <c r="J394" s="164"/>
      <c r="K394" s="164"/>
      <c r="L394" s="164"/>
      <c r="M394" s="164"/>
    </row>
    <row r="395" spans="10:13">
      <c r="J395" s="164"/>
      <c r="K395" s="164"/>
      <c r="L395" s="164"/>
      <c r="M395" s="164"/>
    </row>
    <row r="396" spans="10:13">
      <c r="J396" s="164"/>
      <c r="K396" s="164"/>
      <c r="L396" s="164"/>
      <c r="M396" s="164"/>
    </row>
    <row r="397" spans="10:13">
      <c r="J397" s="164"/>
      <c r="K397" s="164"/>
      <c r="L397" s="164"/>
      <c r="M397" s="164"/>
    </row>
    <row r="398" spans="10:13">
      <c r="J398" s="164"/>
      <c r="K398" s="164"/>
      <c r="L398" s="164"/>
      <c r="M398" s="164"/>
    </row>
    <row r="399" spans="10:13">
      <c r="J399" s="164"/>
      <c r="K399" s="164"/>
      <c r="L399" s="164"/>
      <c r="M399" s="164"/>
    </row>
    <row r="400" spans="10:13">
      <c r="J400" s="164"/>
      <c r="K400" s="164"/>
      <c r="L400" s="164"/>
      <c r="M400" s="164"/>
    </row>
    <row r="401" spans="10:13">
      <c r="J401" s="164"/>
      <c r="K401" s="164"/>
      <c r="L401" s="164"/>
      <c r="M401" s="164"/>
    </row>
    <row r="402" spans="10:13">
      <c r="J402" s="164"/>
      <c r="K402" s="164"/>
      <c r="L402" s="164"/>
      <c r="M402" s="164"/>
    </row>
    <row r="403" spans="10:13">
      <c r="J403" s="164"/>
      <c r="K403" s="164"/>
      <c r="L403" s="164"/>
      <c r="M403" s="164"/>
    </row>
    <row r="404" spans="10:13">
      <c r="J404" s="164"/>
      <c r="K404" s="164"/>
      <c r="L404" s="164"/>
      <c r="M404" s="164"/>
    </row>
    <row r="405" spans="10:13">
      <c r="J405" s="164"/>
      <c r="K405" s="164"/>
      <c r="L405" s="164"/>
      <c r="M405" s="164"/>
    </row>
    <row r="406" spans="10:13">
      <c r="J406" s="164"/>
      <c r="K406" s="164"/>
      <c r="L406" s="164"/>
      <c r="M406" s="164"/>
    </row>
    <row r="407" spans="10:13">
      <c r="J407" s="164"/>
      <c r="K407" s="164"/>
      <c r="L407" s="164"/>
      <c r="M407" s="164"/>
    </row>
    <row r="408" spans="10:13">
      <c r="J408" s="164"/>
      <c r="K408" s="164"/>
      <c r="L408" s="164"/>
      <c r="M408" s="164"/>
    </row>
    <row r="409" spans="10:13">
      <c r="J409" s="164"/>
      <c r="K409" s="164"/>
      <c r="L409" s="164"/>
      <c r="M409" s="164"/>
    </row>
    <row r="410" spans="10:13">
      <c r="J410" s="164"/>
      <c r="K410" s="164"/>
      <c r="L410" s="164"/>
      <c r="M410" s="164"/>
    </row>
    <row r="411" spans="10:13">
      <c r="J411" s="164"/>
      <c r="K411" s="164"/>
      <c r="L411" s="164"/>
      <c r="M411" s="164"/>
    </row>
    <row r="412" spans="10:13">
      <c r="J412" s="164"/>
      <c r="K412" s="164"/>
      <c r="L412" s="164"/>
      <c r="M412" s="164"/>
    </row>
    <row r="413" spans="10:13">
      <c r="J413" s="164"/>
      <c r="K413" s="164"/>
      <c r="L413" s="164"/>
      <c r="M413" s="164"/>
    </row>
    <row r="414" spans="10:13">
      <c r="J414" s="164"/>
      <c r="K414" s="164"/>
      <c r="L414" s="164"/>
      <c r="M414" s="164"/>
    </row>
    <row r="415" spans="10:13">
      <c r="J415" s="164"/>
      <c r="K415" s="164"/>
      <c r="L415" s="164"/>
      <c r="M415" s="164"/>
    </row>
    <row r="416" spans="10:13">
      <c r="J416" s="164"/>
      <c r="K416" s="164"/>
      <c r="L416" s="164"/>
      <c r="M416" s="164"/>
    </row>
    <row r="417" spans="10:13">
      <c r="J417" s="164"/>
      <c r="K417" s="164"/>
      <c r="L417" s="164"/>
      <c r="M417" s="164"/>
    </row>
    <row r="418" spans="10:13">
      <c r="J418" s="164"/>
      <c r="K418" s="164"/>
      <c r="L418" s="164"/>
      <c r="M418" s="164"/>
    </row>
    <row r="419" spans="10:13">
      <c r="J419" s="164"/>
      <c r="K419" s="164"/>
      <c r="L419" s="164"/>
      <c r="M419" s="164"/>
    </row>
    <row r="420" spans="10:13">
      <c r="J420" s="164"/>
      <c r="K420" s="164"/>
      <c r="L420" s="164"/>
      <c r="M420" s="164"/>
    </row>
    <row r="421" spans="10:13">
      <c r="J421" s="164"/>
      <c r="K421" s="164"/>
      <c r="L421" s="164"/>
      <c r="M421" s="164"/>
    </row>
    <row r="422" spans="10:13">
      <c r="J422" s="164"/>
      <c r="K422" s="164"/>
      <c r="L422" s="164"/>
      <c r="M422" s="164"/>
    </row>
    <row r="423" spans="10:13">
      <c r="J423" s="164"/>
      <c r="K423" s="164"/>
      <c r="L423" s="164"/>
      <c r="M423" s="164"/>
    </row>
    <row r="424" spans="10:13">
      <c r="J424" s="164"/>
      <c r="K424" s="164"/>
      <c r="L424" s="164"/>
      <c r="M424" s="164"/>
    </row>
    <row r="425" spans="10:13">
      <c r="J425" s="164"/>
      <c r="K425" s="164"/>
      <c r="L425" s="164"/>
      <c r="M425" s="164"/>
    </row>
    <row r="426" spans="10:13">
      <c r="J426" s="164"/>
      <c r="K426" s="164"/>
      <c r="L426" s="164"/>
      <c r="M426" s="164"/>
    </row>
    <row r="427" spans="10:13">
      <c r="J427" s="164"/>
      <c r="K427" s="164"/>
      <c r="L427" s="164"/>
      <c r="M427" s="164"/>
    </row>
    <row r="428" spans="10:13">
      <c r="J428" s="164"/>
      <c r="K428" s="164"/>
      <c r="L428" s="164"/>
      <c r="M428" s="164"/>
    </row>
    <row r="429" spans="10:13">
      <c r="J429" s="164"/>
      <c r="K429" s="164"/>
      <c r="L429" s="164"/>
      <c r="M429" s="164"/>
    </row>
    <row r="430" spans="10:13">
      <c r="J430" s="164"/>
      <c r="K430" s="164"/>
      <c r="L430" s="164"/>
      <c r="M430" s="164"/>
    </row>
    <row r="431" spans="10:13">
      <c r="J431" s="164"/>
      <c r="K431" s="164"/>
      <c r="L431" s="164"/>
      <c r="M431" s="164"/>
    </row>
    <row r="432" spans="10:13">
      <c r="J432" s="164"/>
      <c r="K432" s="164"/>
      <c r="L432" s="164"/>
      <c r="M432" s="164"/>
    </row>
    <row r="433" spans="10:13">
      <c r="J433" s="164"/>
      <c r="K433" s="164"/>
      <c r="L433" s="164"/>
      <c r="M433" s="164"/>
    </row>
    <row r="434" spans="10:13">
      <c r="J434" s="164"/>
      <c r="K434" s="164"/>
      <c r="L434" s="164"/>
      <c r="M434" s="164"/>
    </row>
    <row r="435" spans="10:13">
      <c r="J435" s="164"/>
      <c r="K435" s="164"/>
      <c r="L435" s="164"/>
      <c r="M435" s="164"/>
    </row>
    <row r="436" spans="10:13">
      <c r="J436" s="164"/>
      <c r="K436" s="164"/>
      <c r="L436" s="164"/>
      <c r="M436" s="164"/>
    </row>
    <row r="437" spans="10:13">
      <c r="J437" s="164"/>
      <c r="K437" s="164"/>
      <c r="L437" s="164"/>
      <c r="M437" s="164"/>
    </row>
    <row r="438" spans="10:13">
      <c r="J438" s="164"/>
      <c r="K438" s="164"/>
      <c r="L438" s="164"/>
      <c r="M438" s="164"/>
    </row>
    <row r="439" spans="10:13">
      <c r="J439" s="164"/>
      <c r="K439" s="164"/>
      <c r="L439" s="164"/>
      <c r="M439" s="164"/>
    </row>
    <row r="440" spans="10:13">
      <c r="J440" s="164"/>
      <c r="K440" s="164"/>
      <c r="L440" s="164"/>
      <c r="M440" s="164"/>
    </row>
    <row r="441" spans="10:13">
      <c r="J441" s="164"/>
      <c r="K441" s="164"/>
      <c r="L441" s="164"/>
      <c r="M441" s="164"/>
    </row>
    <row r="442" spans="10:13">
      <c r="J442" s="164"/>
      <c r="K442" s="164"/>
      <c r="L442" s="164"/>
      <c r="M442" s="164"/>
    </row>
    <row r="443" spans="10:13">
      <c r="J443" s="164"/>
      <c r="K443" s="164"/>
      <c r="L443" s="164"/>
      <c r="M443" s="164"/>
    </row>
    <row r="444" spans="10:13">
      <c r="J444" s="164"/>
      <c r="K444" s="164"/>
      <c r="L444" s="164"/>
      <c r="M444" s="164"/>
    </row>
    <row r="445" spans="10:13">
      <c r="J445" s="164"/>
      <c r="K445" s="164"/>
      <c r="L445" s="164"/>
      <c r="M445" s="164"/>
    </row>
    <row r="446" spans="10:13">
      <c r="J446" s="164"/>
      <c r="K446" s="164"/>
      <c r="L446" s="164"/>
      <c r="M446" s="164"/>
    </row>
    <row r="447" spans="10:13">
      <c r="J447" s="164"/>
      <c r="K447" s="164"/>
      <c r="L447" s="164"/>
      <c r="M447" s="164"/>
    </row>
    <row r="448" spans="10:13">
      <c r="J448" s="164"/>
      <c r="K448" s="164"/>
      <c r="L448" s="164"/>
      <c r="M448" s="164"/>
    </row>
    <row r="449" spans="10:13">
      <c r="J449" s="164"/>
      <c r="K449" s="164"/>
      <c r="L449" s="164"/>
      <c r="M449" s="164"/>
    </row>
    <row r="450" spans="10:13">
      <c r="J450" s="164"/>
      <c r="K450" s="164"/>
      <c r="L450" s="164"/>
      <c r="M450" s="164"/>
    </row>
    <row r="451" spans="10:13">
      <c r="J451" s="164"/>
      <c r="K451" s="164"/>
      <c r="L451" s="164"/>
      <c r="M451" s="164"/>
    </row>
    <row r="452" spans="10:13">
      <c r="J452" s="164"/>
      <c r="K452" s="164"/>
      <c r="L452" s="164"/>
      <c r="M452" s="164"/>
    </row>
    <row r="453" spans="10:13">
      <c r="J453" s="164"/>
      <c r="K453" s="164"/>
      <c r="L453" s="164"/>
      <c r="M453" s="164"/>
    </row>
    <row r="454" spans="10:13">
      <c r="J454" s="164"/>
      <c r="K454" s="164"/>
      <c r="L454" s="164"/>
      <c r="M454" s="164"/>
    </row>
    <row r="455" spans="10:13">
      <c r="J455" s="164"/>
      <c r="K455" s="164"/>
      <c r="L455" s="164"/>
      <c r="M455" s="164"/>
    </row>
    <row r="456" spans="10:13">
      <c r="J456" s="164"/>
      <c r="K456" s="164"/>
      <c r="L456" s="164"/>
      <c r="M456" s="164"/>
    </row>
    <row r="457" spans="10:13">
      <c r="J457" s="164"/>
      <c r="K457" s="164"/>
      <c r="L457" s="164"/>
      <c r="M457" s="164"/>
    </row>
    <row r="458" spans="10:13">
      <c r="J458" s="164"/>
      <c r="K458" s="164"/>
      <c r="L458" s="164"/>
      <c r="M458" s="164"/>
    </row>
    <row r="459" spans="10:13">
      <c r="J459" s="164"/>
      <c r="K459" s="164"/>
      <c r="L459" s="164"/>
      <c r="M459" s="164"/>
    </row>
    <row r="460" spans="10:13">
      <c r="J460" s="164"/>
      <c r="K460" s="164"/>
      <c r="L460" s="164"/>
      <c r="M460" s="164"/>
    </row>
    <row r="461" spans="10:13">
      <c r="J461" s="164"/>
      <c r="K461" s="164"/>
      <c r="L461" s="164"/>
      <c r="M461" s="164"/>
    </row>
    <row r="462" spans="10:13">
      <c r="J462" s="164"/>
      <c r="K462" s="164"/>
      <c r="L462" s="164"/>
      <c r="M462" s="164"/>
    </row>
    <row r="463" spans="10:13">
      <c r="J463" s="164"/>
      <c r="K463" s="164"/>
      <c r="L463" s="164"/>
      <c r="M463" s="164"/>
    </row>
    <row r="464" spans="10:13">
      <c r="J464" s="164"/>
      <c r="K464" s="164"/>
      <c r="L464" s="164"/>
      <c r="M464" s="164"/>
    </row>
    <row r="465" spans="10:13">
      <c r="J465" s="164"/>
      <c r="K465" s="164"/>
      <c r="L465" s="164"/>
      <c r="M465" s="164"/>
    </row>
    <row r="466" spans="10:13">
      <c r="J466" s="164"/>
      <c r="K466" s="164"/>
      <c r="L466" s="164"/>
      <c r="M466" s="164"/>
    </row>
    <row r="467" spans="10:13">
      <c r="J467" s="164"/>
      <c r="K467" s="164"/>
      <c r="L467" s="164"/>
      <c r="M467" s="164"/>
    </row>
    <row r="468" spans="10:13">
      <c r="J468" s="164"/>
      <c r="K468" s="164"/>
      <c r="L468" s="164"/>
      <c r="M468" s="164"/>
    </row>
    <row r="469" spans="10:13">
      <c r="J469" s="164"/>
      <c r="K469" s="164"/>
      <c r="L469" s="164"/>
      <c r="M469" s="164"/>
    </row>
    <row r="470" spans="10:13">
      <c r="J470" s="164"/>
      <c r="K470" s="164"/>
      <c r="L470" s="164"/>
      <c r="M470" s="164"/>
    </row>
    <row r="471" spans="10:13">
      <c r="J471" s="164"/>
      <c r="K471" s="164"/>
      <c r="L471" s="164"/>
      <c r="M471" s="164"/>
    </row>
    <row r="472" spans="10:13">
      <c r="J472" s="164"/>
      <c r="K472" s="164"/>
      <c r="L472" s="164"/>
      <c r="M472" s="164"/>
    </row>
    <row r="473" spans="10:13">
      <c r="J473" s="164"/>
      <c r="K473" s="164"/>
      <c r="L473" s="164"/>
      <c r="M473" s="164"/>
    </row>
    <row r="474" spans="10:13">
      <c r="J474" s="164"/>
      <c r="K474" s="164"/>
      <c r="L474" s="164"/>
      <c r="M474" s="164"/>
    </row>
    <row r="475" spans="10:13">
      <c r="J475" s="164"/>
      <c r="K475" s="164"/>
      <c r="L475" s="164"/>
      <c r="M475" s="164"/>
    </row>
    <row r="476" spans="10:13">
      <c r="J476" s="164"/>
      <c r="K476" s="164"/>
      <c r="L476" s="164"/>
      <c r="M476" s="164"/>
    </row>
    <row r="477" spans="10:13">
      <c r="J477" s="164"/>
      <c r="K477" s="164"/>
      <c r="L477" s="164"/>
      <c r="M477" s="164"/>
    </row>
    <row r="478" spans="10:13">
      <c r="J478" s="164"/>
      <c r="K478" s="164"/>
      <c r="L478" s="164"/>
      <c r="M478" s="164"/>
    </row>
    <row r="479" spans="10:13">
      <c r="J479" s="164"/>
      <c r="K479" s="164"/>
      <c r="L479" s="164"/>
      <c r="M479" s="164"/>
    </row>
    <row r="480" spans="10:13">
      <c r="J480" s="164"/>
      <c r="K480" s="164"/>
      <c r="L480" s="164"/>
      <c r="M480" s="164"/>
    </row>
    <row r="481" spans="10:13">
      <c r="J481" s="164"/>
      <c r="K481" s="164"/>
      <c r="L481" s="164"/>
      <c r="M481" s="164"/>
    </row>
    <row r="482" spans="10:13">
      <c r="J482" s="164"/>
      <c r="K482" s="164"/>
      <c r="L482" s="164"/>
      <c r="M482" s="164"/>
    </row>
    <row r="483" spans="10:13">
      <c r="J483" s="164"/>
      <c r="K483" s="164"/>
      <c r="L483" s="164"/>
      <c r="M483" s="164"/>
    </row>
    <row r="484" spans="10:13">
      <c r="J484" s="164"/>
      <c r="K484" s="164"/>
      <c r="L484" s="164"/>
      <c r="M484" s="164"/>
    </row>
    <row r="485" spans="10:13">
      <c r="J485" s="164"/>
      <c r="K485" s="164"/>
      <c r="L485" s="164"/>
      <c r="M485" s="164"/>
    </row>
    <row r="486" spans="10:13">
      <c r="J486" s="164"/>
      <c r="K486" s="164"/>
      <c r="L486" s="164"/>
      <c r="M486" s="164"/>
    </row>
    <row r="487" spans="10:13">
      <c r="J487" s="164"/>
      <c r="K487" s="164"/>
      <c r="L487" s="164"/>
      <c r="M487" s="164"/>
    </row>
    <row r="488" spans="10:13">
      <c r="J488" s="164"/>
      <c r="K488" s="164"/>
      <c r="L488" s="164"/>
      <c r="M488" s="164"/>
    </row>
    <row r="489" spans="10:13">
      <c r="J489" s="164"/>
      <c r="K489" s="164"/>
      <c r="L489" s="164"/>
      <c r="M489" s="164"/>
    </row>
    <row r="490" spans="10:13">
      <c r="J490" s="164"/>
      <c r="K490" s="164"/>
      <c r="L490" s="164"/>
      <c r="M490" s="164"/>
    </row>
    <row r="491" spans="10:13">
      <c r="J491" s="164"/>
      <c r="K491" s="164"/>
      <c r="L491" s="164"/>
      <c r="M491" s="164"/>
    </row>
    <row r="492" spans="10:13">
      <c r="J492" s="164"/>
      <c r="K492" s="164"/>
      <c r="L492" s="164"/>
      <c r="M492" s="164"/>
    </row>
    <row r="493" spans="10:13">
      <c r="J493" s="164"/>
      <c r="K493" s="164"/>
      <c r="L493" s="164"/>
      <c r="M493" s="164"/>
    </row>
    <row r="494" spans="10:13">
      <c r="J494" s="164"/>
      <c r="K494" s="164"/>
      <c r="L494" s="164"/>
      <c r="M494" s="164"/>
    </row>
    <row r="495" spans="10:13">
      <c r="J495" s="164"/>
      <c r="K495" s="164"/>
      <c r="L495" s="164"/>
      <c r="M495" s="164"/>
    </row>
    <row r="496" spans="10:13">
      <c r="J496" s="164"/>
      <c r="K496" s="164"/>
      <c r="L496" s="164"/>
      <c r="M496" s="164"/>
    </row>
    <row r="497" spans="10:13">
      <c r="J497" s="164"/>
      <c r="K497" s="164"/>
      <c r="L497" s="164"/>
      <c r="M497" s="164"/>
    </row>
    <row r="498" spans="10:13">
      <c r="J498" s="164"/>
      <c r="K498" s="164"/>
      <c r="L498" s="164"/>
      <c r="M498" s="164"/>
    </row>
    <row r="499" spans="10:13">
      <c r="J499" s="164"/>
      <c r="K499" s="164"/>
      <c r="L499" s="164"/>
      <c r="M499" s="164"/>
    </row>
    <row r="500" spans="10:13">
      <c r="J500" s="164"/>
      <c r="K500" s="164"/>
      <c r="L500" s="164"/>
      <c r="M500" s="164"/>
    </row>
    <row r="501" spans="10:13">
      <c r="J501" s="164"/>
      <c r="K501" s="164"/>
      <c r="L501" s="164"/>
      <c r="M501" s="164"/>
    </row>
    <row r="502" spans="10:13">
      <c r="J502" s="164"/>
      <c r="K502" s="164"/>
      <c r="L502" s="164"/>
      <c r="M502" s="164"/>
    </row>
    <row r="503" spans="10:13">
      <c r="J503" s="164"/>
      <c r="K503" s="164"/>
      <c r="L503" s="164"/>
      <c r="M503" s="164"/>
    </row>
    <row r="504" spans="10:13">
      <c r="J504" s="164"/>
      <c r="K504" s="164"/>
      <c r="L504" s="164"/>
      <c r="M504" s="164"/>
    </row>
    <row r="505" spans="10:13">
      <c r="J505" s="164"/>
      <c r="K505" s="164"/>
      <c r="L505" s="164"/>
      <c r="M505" s="164"/>
    </row>
    <row r="506" spans="10:13">
      <c r="J506" s="164"/>
      <c r="K506" s="164"/>
      <c r="L506" s="164"/>
      <c r="M506" s="164"/>
    </row>
    <row r="507" spans="10:13">
      <c r="J507" s="164"/>
      <c r="K507" s="164"/>
      <c r="L507" s="164"/>
      <c r="M507" s="164"/>
    </row>
    <row r="508" spans="10:13">
      <c r="J508" s="164"/>
      <c r="K508" s="164"/>
      <c r="L508" s="164"/>
      <c r="M508" s="164"/>
    </row>
    <row r="509" spans="10:13">
      <c r="J509" s="164"/>
      <c r="K509" s="164"/>
      <c r="L509" s="164"/>
      <c r="M509" s="164"/>
    </row>
    <row r="510" spans="10:13">
      <c r="J510" s="164"/>
      <c r="K510" s="164"/>
      <c r="L510" s="164"/>
      <c r="M510" s="164"/>
    </row>
    <row r="511" spans="10:13">
      <c r="J511" s="164"/>
      <c r="K511" s="164"/>
      <c r="L511" s="164"/>
      <c r="M511" s="164"/>
    </row>
    <row r="512" spans="10:13">
      <c r="J512" s="164"/>
      <c r="K512" s="164"/>
      <c r="L512" s="164"/>
      <c r="M512" s="164"/>
    </row>
    <row r="513" spans="10:13">
      <c r="J513" s="164"/>
      <c r="K513" s="164"/>
      <c r="L513" s="164"/>
      <c r="M513" s="164"/>
    </row>
    <row r="514" spans="10:13">
      <c r="J514" s="164"/>
      <c r="K514" s="164"/>
      <c r="L514" s="164"/>
      <c r="M514" s="164"/>
    </row>
    <row r="515" spans="10:13">
      <c r="J515" s="164"/>
      <c r="K515" s="164"/>
      <c r="L515" s="164"/>
      <c r="M515" s="164"/>
    </row>
    <row r="516" spans="10:13">
      <c r="J516" s="164"/>
      <c r="K516" s="164"/>
      <c r="L516" s="164"/>
      <c r="M516" s="164"/>
    </row>
    <row r="517" spans="10:13">
      <c r="J517" s="164"/>
      <c r="K517" s="164"/>
      <c r="L517" s="164"/>
      <c r="M517" s="164"/>
    </row>
    <row r="518" spans="10:13">
      <c r="J518" s="164"/>
      <c r="K518" s="164"/>
      <c r="L518" s="164"/>
      <c r="M518" s="164"/>
    </row>
    <row r="519" spans="10:13">
      <c r="J519" s="164"/>
      <c r="K519" s="164"/>
      <c r="L519" s="164"/>
      <c r="M519" s="164"/>
    </row>
    <row r="520" spans="10:13">
      <c r="J520" s="164"/>
      <c r="K520" s="164"/>
      <c r="L520" s="164"/>
      <c r="M520" s="164"/>
    </row>
    <row r="521" spans="10:13">
      <c r="J521" s="164"/>
      <c r="K521" s="164"/>
      <c r="L521" s="164"/>
      <c r="M521" s="164"/>
    </row>
    <row r="522" spans="10:13">
      <c r="J522" s="164"/>
      <c r="K522" s="164"/>
      <c r="L522" s="164"/>
      <c r="M522" s="164"/>
    </row>
    <row r="523" spans="10:13">
      <c r="J523" s="164"/>
      <c r="K523" s="164"/>
      <c r="L523" s="164"/>
      <c r="M523" s="164"/>
    </row>
    <row r="524" spans="10:13">
      <c r="J524" s="164"/>
      <c r="K524" s="164"/>
      <c r="L524" s="164"/>
      <c r="M524" s="164"/>
    </row>
    <row r="525" spans="10:13">
      <c r="J525" s="164"/>
      <c r="K525" s="164"/>
      <c r="L525" s="164"/>
      <c r="M525" s="164"/>
    </row>
    <row r="526" spans="10:13">
      <c r="J526" s="164"/>
      <c r="K526" s="164"/>
      <c r="L526" s="164"/>
      <c r="M526" s="164"/>
    </row>
    <row r="527" spans="10:13">
      <c r="J527" s="164"/>
      <c r="K527" s="164"/>
      <c r="L527" s="164"/>
      <c r="M527" s="164"/>
    </row>
    <row r="528" spans="10:13">
      <c r="J528" s="164"/>
      <c r="K528" s="164"/>
      <c r="L528" s="164"/>
      <c r="M528" s="164"/>
    </row>
    <row r="529" spans="10:13">
      <c r="J529" s="164"/>
      <c r="K529" s="164"/>
      <c r="L529" s="164"/>
      <c r="M529" s="164"/>
    </row>
    <row r="530" spans="10:13">
      <c r="J530" s="164"/>
      <c r="K530" s="164"/>
      <c r="L530" s="164"/>
      <c r="M530" s="164"/>
    </row>
    <row r="531" spans="10:13">
      <c r="J531" s="164"/>
      <c r="K531" s="164"/>
      <c r="L531" s="164"/>
      <c r="M531" s="164"/>
    </row>
    <row r="532" spans="10:13">
      <c r="J532" s="164"/>
      <c r="K532" s="164"/>
      <c r="L532" s="164"/>
      <c r="M532" s="164"/>
    </row>
    <row r="533" spans="10:13">
      <c r="J533" s="164"/>
      <c r="K533" s="164"/>
      <c r="L533" s="164"/>
      <c r="M533" s="164"/>
    </row>
    <row r="534" spans="10:13">
      <c r="J534" s="164"/>
      <c r="K534" s="164"/>
      <c r="L534" s="164"/>
      <c r="M534" s="164"/>
    </row>
    <row r="535" spans="10:13">
      <c r="J535" s="164"/>
      <c r="K535" s="164"/>
      <c r="L535" s="164"/>
      <c r="M535" s="164"/>
    </row>
    <row r="536" spans="10:13">
      <c r="J536" s="164"/>
      <c r="K536" s="164"/>
      <c r="L536" s="164"/>
      <c r="M536" s="164"/>
    </row>
    <row r="537" spans="10:13">
      <c r="J537" s="164"/>
      <c r="K537" s="164"/>
      <c r="L537" s="164"/>
      <c r="M537" s="164"/>
    </row>
    <row r="538" spans="10:13">
      <c r="J538" s="164"/>
      <c r="K538" s="164"/>
      <c r="L538" s="164"/>
      <c r="M538" s="164"/>
    </row>
    <row r="539" spans="10:13">
      <c r="J539" s="164"/>
      <c r="K539" s="164"/>
      <c r="L539" s="164"/>
      <c r="M539" s="164"/>
    </row>
    <row r="540" spans="10:13">
      <c r="J540" s="164"/>
      <c r="K540" s="164"/>
      <c r="L540" s="164"/>
      <c r="M540" s="164"/>
    </row>
    <row r="541" spans="10:13">
      <c r="J541" s="164"/>
      <c r="K541" s="164"/>
      <c r="L541" s="164"/>
      <c r="M541" s="164"/>
    </row>
    <row r="542" spans="10:13">
      <c r="J542" s="164"/>
      <c r="K542" s="164"/>
      <c r="L542" s="164"/>
      <c r="M542" s="164"/>
    </row>
    <row r="543" spans="10:13">
      <c r="J543" s="164"/>
      <c r="K543" s="164"/>
      <c r="L543" s="164"/>
      <c r="M543" s="164"/>
    </row>
    <row r="544" spans="10:13">
      <c r="J544" s="164"/>
      <c r="K544" s="164"/>
      <c r="L544" s="164"/>
      <c r="M544" s="164"/>
    </row>
    <row r="545" spans="10:13">
      <c r="J545" s="164"/>
      <c r="K545" s="164"/>
      <c r="L545" s="164"/>
      <c r="M545" s="164"/>
    </row>
    <row r="546" spans="10:13">
      <c r="J546" s="164"/>
      <c r="K546" s="164"/>
      <c r="L546" s="164"/>
      <c r="M546" s="164"/>
    </row>
    <row r="547" spans="10:13">
      <c r="J547" s="164"/>
      <c r="K547" s="164"/>
      <c r="L547" s="164"/>
      <c r="M547" s="164"/>
    </row>
    <row r="548" spans="10:13">
      <c r="J548" s="164"/>
      <c r="K548" s="164"/>
      <c r="L548" s="164"/>
      <c r="M548" s="164"/>
    </row>
    <row r="549" spans="10:13">
      <c r="J549" s="164"/>
      <c r="K549" s="164"/>
      <c r="L549" s="164"/>
      <c r="M549" s="164"/>
    </row>
    <row r="550" spans="10:13">
      <c r="J550" s="164"/>
      <c r="K550" s="164"/>
      <c r="L550" s="164"/>
      <c r="M550" s="164"/>
    </row>
    <row r="551" spans="10:13">
      <c r="J551" s="164"/>
      <c r="K551" s="164"/>
      <c r="L551" s="164"/>
      <c r="M551" s="164"/>
    </row>
    <row r="552" spans="10:13">
      <c r="J552" s="164"/>
      <c r="K552" s="164"/>
      <c r="L552" s="164"/>
      <c r="M552" s="164"/>
    </row>
    <row r="553" spans="10:13">
      <c r="J553" s="164"/>
      <c r="K553" s="164"/>
      <c r="L553" s="164"/>
      <c r="M553" s="164"/>
    </row>
    <row r="554" spans="10:13">
      <c r="J554" s="164"/>
      <c r="K554" s="164"/>
      <c r="L554" s="164"/>
      <c r="M554" s="164"/>
    </row>
    <row r="555" spans="10:13">
      <c r="J555" s="164"/>
      <c r="K555" s="164"/>
      <c r="L555" s="164"/>
      <c r="M555" s="164"/>
    </row>
    <row r="556" spans="10:13">
      <c r="J556" s="164"/>
      <c r="K556" s="164"/>
      <c r="L556" s="164"/>
      <c r="M556" s="164"/>
    </row>
    <row r="557" spans="10:13">
      <c r="J557" s="164"/>
      <c r="K557" s="164"/>
      <c r="L557" s="164"/>
      <c r="M557" s="164"/>
    </row>
    <row r="558" spans="10:13">
      <c r="J558" s="164"/>
      <c r="K558" s="164"/>
      <c r="L558" s="164"/>
      <c r="M558" s="164"/>
    </row>
    <row r="559" spans="10:13">
      <c r="J559" s="164"/>
      <c r="K559" s="164"/>
      <c r="L559" s="164"/>
      <c r="M559" s="164"/>
    </row>
    <row r="560" spans="10:13">
      <c r="J560" s="164"/>
      <c r="K560" s="164"/>
      <c r="L560" s="164"/>
      <c r="M560" s="164"/>
    </row>
    <row r="561" spans="10:13">
      <c r="J561" s="164"/>
      <c r="K561" s="164"/>
      <c r="L561" s="164"/>
      <c r="M561" s="164"/>
    </row>
    <row r="562" spans="10:13">
      <c r="J562" s="164"/>
      <c r="K562" s="164"/>
      <c r="L562" s="164"/>
      <c r="M562" s="164"/>
    </row>
    <row r="563" spans="10:13">
      <c r="J563" s="164"/>
      <c r="K563" s="164"/>
      <c r="L563" s="164"/>
      <c r="M563" s="164"/>
    </row>
    <row r="564" spans="10:13">
      <c r="J564" s="164"/>
      <c r="K564" s="164"/>
      <c r="L564" s="164"/>
      <c r="M564" s="164"/>
    </row>
    <row r="565" spans="10:13">
      <c r="J565" s="164"/>
      <c r="K565" s="164"/>
      <c r="L565" s="164"/>
      <c r="M565" s="164"/>
    </row>
    <row r="566" spans="10:13">
      <c r="J566" s="164"/>
      <c r="K566" s="164"/>
      <c r="L566" s="164"/>
      <c r="M566" s="164"/>
    </row>
    <row r="567" spans="10:13">
      <c r="J567" s="164"/>
      <c r="K567" s="164"/>
      <c r="L567" s="164"/>
      <c r="M567" s="164"/>
    </row>
    <row r="568" spans="10:13">
      <c r="J568" s="164"/>
      <c r="K568" s="164"/>
      <c r="L568" s="164"/>
      <c r="M568" s="164"/>
    </row>
    <row r="569" spans="10:13">
      <c r="J569" s="164"/>
      <c r="K569" s="164"/>
      <c r="L569" s="164"/>
      <c r="M569" s="164"/>
    </row>
    <row r="570" spans="10:13">
      <c r="J570" s="164"/>
      <c r="K570" s="164"/>
      <c r="L570" s="164"/>
      <c r="M570" s="164"/>
    </row>
    <row r="571" spans="10:13">
      <c r="J571" s="164"/>
      <c r="K571" s="164"/>
      <c r="L571" s="164"/>
      <c r="M571" s="164"/>
    </row>
    <row r="572" spans="10:13">
      <c r="J572" s="164"/>
      <c r="K572" s="164"/>
      <c r="L572" s="164"/>
      <c r="M572" s="164"/>
    </row>
    <row r="573" spans="10:13">
      <c r="J573" s="164"/>
      <c r="K573" s="164"/>
      <c r="L573" s="164"/>
      <c r="M573" s="164"/>
    </row>
    <row r="574" spans="10:13">
      <c r="J574" s="164"/>
      <c r="K574" s="164"/>
      <c r="L574" s="164"/>
      <c r="M574" s="164"/>
    </row>
    <row r="575" spans="10:13">
      <c r="J575" s="164"/>
      <c r="K575" s="164"/>
      <c r="L575" s="164"/>
      <c r="M575" s="164"/>
    </row>
    <row r="576" spans="10:13">
      <c r="J576" s="164"/>
      <c r="K576" s="164"/>
      <c r="L576" s="164"/>
      <c r="M576" s="164"/>
    </row>
    <row r="577" spans="10:13">
      <c r="J577" s="164"/>
      <c r="K577" s="164"/>
      <c r="L577" s="164"/>
      <c r="M577" s="164"/>
    </row>
    <row r="578" spans="10:13">
      <c r="J578" s="164"/>
      <c r="K578" s="164"/>
      <c r="L578" s="164"/>
      <c r="M578" s="164"/>
    </row>
    <row r="579" spans="10:13">
      <c r="J579" s="164"/>
      <c r="K579" s="164"/>
      <c r="L579" s="164"/>
      <c r="M579" s="164"/>
    </row>
    <row r="580" spans="10:13">
      <c r="J580" s="164"/>
      <c r="K580" s="164"/>
      <c r="L580" s="164"/>
      <c r="M580" s="164"/>
    </row>
    <row r="581" spans="10:13">
      <c r="J581" s="164"/>
      <c r="K581" s="164"/>
      <c r="L581" s="164"/>
      <c r="M581" s="164"/>
    </row>
    <row r="582" spans="10:13">
      <c r="J582" s="164"/>
      <c r="K582" s="164"/>
      <c r="L582" s="164"/>
      <c r="M582" s="164"/>
    </row>
    <row r="583" spans="10:13">
      <c r="J583" s="164"/>
      <c r="K583" s="164"/>
      <c r="L583" s="164"/>
      <c r="M583" s="164"/>
    </row>
    <row r="584" spans="10:13">
      <c r="J584" s="164"/>
      <c r="K584" s="164"/>
      <c r="L584" s="164"/>
      <c r="M584" s="164"/>
    </row>
    <row r="585" spans="10:13">
      <c r="J585" s="164"/>
      <c r="K585" s="164"/>
      <c r="L585" s="164"/>
      <c r="M585" s="164"/>
    </row>
    <row r="586" spans="10:13">
      <c r="J586" s="164"/>
      <c r="K586" s="164"/>
      <c r="L586" s="164"/>
      <c r="M586" s="164"/>
    </row>
    <row r="587" spans="10:13">
      <c r="J587" s="164"/>
      <c r="K587" s="164"/>
      <c r="L587" s="164"/>
      <c r="M587" s="164"/>
    </row>
    <row r="588" spans="10:13">
      <c r="J588" s="164"/>
      <c r="K588" s="164"/>
      <c r="L588" s="164"/>
      <c r="M588" s="164"/>
    </row>
    <row r="589" spans="10:13">
      <c r="J589" s="164"/>
      <c r="K589" s="164"/>
      <c r="L589" s="164"/>
      <c r="M589" s="164"/>
    </row>
    <row r="590" spans="10:13">
      <c r="J590" s="164"/>
      <c r="K590" s="164"/>
      <c r="L590" s="164"/>
      <c r="M590" s="164"/>
    </row>
    <row r="591" spans="10:13">
      <c r="J591" s="164"/>
      <c r="K591" s="164"/>
      <c r="L591" s="164"/>
      <c r="M591" s="164"/>
    </row>
    <row r="592" spans="10:13">
      <c r="J592" s="164"/>
      <c r="K592" s="164"/>
      <c r="L592" s="164"/>
      <c r="M592" s="164"/>
    </row>
    <row r="593" spans="10:13">
      <c r="J593" s="164"/>
      <c r="K593" s="164"/>
      <c r="L593" s="164"/>
      <c r="M593" s="164"/>
    </row>
    <row r="594" spans="10:13">
      <c r="J594" s="164"/>
      <c r="K594" s="164"/>
      <c r="L594" s="164"/>
      <c r="M594" s="164"/>
    </row>
    <row r="595" spans="10:13">
      <c r="J595" s="164"/>
      <c r="K595" s="164"/>
      <c r="L595" s="164"/>
      <c r="M595" s="164"/>
    </row>
    <row r="596" spans="10:13">
      <c r="J596" s="164"/>
      <c r="K596" s="164"/>
      <c r="L596" s="164"/>
      <c r="M596" s="164"/>
    </row>
    <row r="597" spans="10:13">
      <c r="J597" s="164"/>
      <c r="K597" s="164"/>
      <c r="L597" s="164"/>
      <c r="M597" s="164"/>
    </row>
    <row r="598" spans="10:13">
      <c r="J598" s="164"/>
      <c r="K598" s="164"/>
      <c r="L598" s="164"/>
      <c r="M598" s="164"/>
    </row>
    <row r="599" spans="10:13">
      <c r="J599" s="164"/>
      <c r="K599" s="164"/>
      <c r="L599" s="164"/>
      <c r="M599" s="164"/>
    </row>
    <row r="600" spans="10:13">
      <c r="J600" s="164"/>
      <c r="K600" s="164"/>
      <c r="L600" s="164"/>
      <c r="M600" s="164"/>
    </row>
    <row r="601" spans="10:13">
      <c r="J601" s="164"/>
      <c r="K601" s="164"/>
      <c r="L601" s="164"/>
      <c r="M601" s="164"/>
    </row>
    <row r="602" spans="10:13">
      <c r="J602" s="164"/>
      <c r="K602" s="164"/>
      <c r="L602" s="164"/>
      <c r="M602" s="164"/>
    </row>
    <row r="603" spans="10:13">
      <c r="J603" s="164"/>
      <c r="K603" s="164"/>
      <c r="L603" s="164"/>
      <c r="M603" s="164"/>
    </row>
    <row r="604" spans="10:13">
      <c r="J604" s="164"/>
      <c r="K604" s="164"/>
      <c r="L604" s="164"/>
      <c r="M604" s="164"/>
    </row>
    <row r="605" spans="10:13">
      <c r="J605" s="164"/>
      <c r="K605" s="164"/>
      <c r="L605" s="164"/>
      <c r="M605" s="164"/>
    </row>
    <row r="606" spans="10:13">
      <c r="J606" s="164"/>
      <c r="K606" s="164"/>
      <c r="L606" s="164"/>
      <c r="M606" s="164"/>
    </row>
    <row r="607" spans="10:13">
      <c r="J607" s="164"/>
      <c r="K607" s="164"/>
      <c r="L607" s="164"/>
      <c r="M607" s="164"/>
    </row>
    <row r="608" spans="10:13">
      <c r="J608" s="164"/>
      <c r="K608" s="164"/>
      <c r="L608" s="164"/>
      <c r="M608" s="164"/>
    </row>
    <row r="609" spans="10:13">
      <c r="J609" s="164"/>
      <c r="K609" s="164"/>
      <c r="L609" s="164"/>
      <c r="M609" s="164"/>
    </row>
    <row r="610" spans="10:13">
      <c r="J610" s="164"/>
      <c r="K610" s="164"/>
      <c r="L610" s="164"/>
      <c r="M610" s="164"/>
    </row>
    <row r="611" spans="10:13">
      <c r="J611" s="164"/>
      <c r="K611" s="164"/>
      <c r="L611" s="164"/>
      <c r="M611" s="164"/>
    </row>
    <row r="612" spans="10:13">
      <c r="J612" s="164"/>
      <c r="K612" s="164"/>
      <c r="L612" s="164"/>
      <c r="M612" s="164"/>
    </row>
    <row r="613" spans="10:13">
      <c r="J613" s="164"/>
      <c r="K613" s="164"/>
      <c r="L613" s="164"/>
      <c r="M613" s="164"/>
    </row>
    <row r="614" spans="10:13">
      <c r="J614" s="164"/>
      <c r="K614" s="164"/>
      <c r="L614" s="164"/>
      <c r="M614" s="164"/>
    </row>
    <row r="615" spans="10:13">
      <c r="J615" s="164"/>
      <c r="K615" s="164"/>
      <c r="L615" s="164"/>
      <c r="M615" s="164"/>
    </row>
    <row r="616" spans="10:13">
      <c r="J616" s="164"/>
      <c r="K616" s="164"/>
      <c r="L616" s="164"/>
      <c r="M616" s="164"/>
    </row>
    <row r="617" spans="10:13">
      <c r="J617" s="164"/>
      <c r="K617" s="164"/>
      <c r="L617" s="164"/>
      <c r="M617" s="164"/>
    </row>
    <row r="618" spans="10:13">
      <c r="J618" s="164"/>
      <c r="K618" s="164"/>
      <c r="L618" s="164"/>
      <c r="M618" s="164"/>
    </row>
    <row r="619" spans="10:13">
      <c r="J619" s="164"/>
      <c r="K619" s="164"/>
      <c r="L619" s="164"/>
      <c r="M619" s="164"/>
    </row>
    <row r="620" spans="10:13">
      <c r="J620" s="164"/>
      <c r="K620" s="164"/>
      <c r="L620" s="164"/>
      <c r="M620" s="164"/>
    </row>
    <row r="621" spans="10:13">
      <c r="J621" s="164"/>
      <c r="K621" s="164"/>
      <c r="L621" s="164"/>
      <c r="M621" s="164"/>
    </row>
    <row r="622" spans="10:13">
      <c r="J622" s="164"/>
      <c r="K622" s="164"/>
      <c r="L622" s="164"/>
      <c r="M622" s="164"/>
    </row>
    <row r="623" spans="10:13">
      <c r="J623" s="164"/>
      <c r="K623" s="164"/>
      <c r="L623" s="164"/>
      <c r="M623" s="164"/>
    </row>
    <row r="624" spans="10:13">
      <c r="J624" s="164"/>
      <c r="K624" s="164"/>
      <c r="L624" s="164"/>
      <c r="M624" s="164"/>
    </row>
    <row r="625" spans="10:13">
      <c r="J625" s="164"/>
      <c r="K625" s="164"/>
      <c r="L625" s="164"/>
      <c r="M625" s="164"/>
    </row>
    <row r="626" spans="10:13">
      <c r="J626" s="164"/>
      <c r="K626" s="164"/>
      <c r="L626" s="164"/>
      <c r="M626" s="164"/>
    </row>
    <row r="627" spans="10:13">
      <c r="J627" s="164"/>
      <c r="K627" s="164"/>
      <c r="L627" s="164"/>
      <c r="M627" s="164"/>
    </row>
    <row r="628" spans="10:13">
      <c r="J628" s="164"/>
      <c r="K628" s="164"/>
      <c r="L628" s="164"/>
      <c r="M628" s="164"/>
    </row>
    <row r="629" spans="10:13">
      <c r="J629" s="164"/>
      <c r="K629" s="164"/>
      <c r="L629" s="164"/>
      <c r="M629" s="164"/>
    </row>
    <row r="630" spans="10:13">
      <c r="J630" s="164"/>
      <c r="K630" s="164"/>
      <c r="L630" s="164"/>
      <c r="M630" s="164"/>
    </row>
    <row r="631" spans="10:13">
      <c r="J631" s="164"/>
      <c r="K631" s="164"/>
      <c r="L631" s="164"/>
      <c r="M631" s="164"/>
    </row>
    <row r="632" spans="10:13">
      <c r="J632" s="164"/>
      <c r="K632" s="164"/>
      <c r="L632" s="164"/>
      <c r="M632" s="164"/>
    </row>
    <row r="633" spans="10:13">
      <c r="J633" s="164"/>
      <c r="K633" s="164"/>
      <c r="L633" s="164"/>
      <c r="M633" s="16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E84D5-1643-C542-BD29-E88A608FF06D}">
  <sheetPr codeName="Sheet6">
    <tabColor theme="6"/>
  </sheetPr>
  <dimension ref="A1:C55"/>
  <sheetViews>
    <sheetView workbookViewId="0"/>
  </sheetViews>
  <sheetFormatPr defaultColWidth="11" defaultRowHeight="11.25"/>
  <cols>
    <col min="1" max="1" width="21.6640625" bestFit="1" customWidth="1"/>
    <col min="2" max="2" width="18.5" bestFit="1" customWidth="1"/>
    <col min="3" max="3" width="24.1640625" bestFit="1" customWidth="1"/>
  </cols>
  <sheetData>
    <row r="1" spans="1:3" ht="15.75">
      <c r="A1" s="10"/>
      <c r="B1" s="158" t="s">
        <v>810</v>
      </c>
      <c r="C1" s="158"/>
    </row>
    <row r="2" spans="1:3" ht="15.75">
      <c r="A2" s="11" t="s">
        <v>811</v>
      </c>
      <c r="B2" s="11" t="s">
        <v>812</v>
      </c>
      <c r="C2" s="11" t="s">
        <v>813</v>
      </c>
    </row>
    <row r="3" spans="1:3" ht="15.75">
      <c r="A3" s="10" t="s">
        <v>814</v>
      </c>
      <c r="B3" s="10">
        <v>96.8</v>
      </c>
      <c r="C3" s="10">
        <v>59.3</v>
      </c>
    </row>
    <row r="4" spans="1:3" ht="15.75">
      <c r="A4" s="10" t="s">
        <v>815</v>
      </c>
      <c r="B4" s="10">
        <v>125.3</v>
      </c>
      <c r="C4" s="10">
        <v>114.2</v>
      </c>
    </row>
    <row r="5" spans="1:3" ht="15.75">
      <c r="A5" s="10" t="s">
        <v>816</v>
      </c>
      <c r="B5" s="10">
        <v>97.5</v>
      </c>
      <c r="C5" s="10">
        <v>68.8</v>
      </c>
    </row>
    <row r="6" spans="1:3" ht="15.75">
      <c r="A6" s="10" t="s">
        <v>817</v>
      </c>
      <c r="B6" s="10">
        <v>95.3</v>
      </c>
      <c r="C6" s="10">
        <v>57.3</v>
      </c>
    </row>
    <row r="7" spans="1:3" ht="15.75">
      <c r="A7" s="10" t="s">
        <v>818</v>
      </c>
      <c r="B7" s="10">
        <v>98.2</v>
      </c>
      <c r="C7" s="10">
        <v>118.8</v>
      </c>
    </row>
    <row r="8" spans="1:3" ht="15.75">
      <c r="A8" s="10" t="s">
        <v>819</v>
      </c>
      <c r="B8" s="10">
        <v>101.2</v>
      </c>
      <c r="C8" s="10">
        <v>80.5</v>
      </c>
    </row>
    <row r="9" spans="1:3" ht="15.75">
      <c r="A9" s="10" t="s">
        <v>820</v>
      </c>
      <c r="B9" s="10">
        <v>101.3</v>
      </c>
      <c r="C9" s="10">
        <v>120.1</v>
      </c>
    </row>
    <row r="10" spans="1:3" ht="15.75">
      <c r="A10" s="10" t="s">
        <v>821</v>
      </c>
      <c r="B10" s="10">
        <v>99.3</v>
      </c>
      <c r="C10" s="10">
        <v>107.9</v>
      </c>
    </row>
    <row r="11" spans="1:3" ht="15.75">
      <c r="A11" s="10" t="s">
        <v>822</v>
      </c>
      <c r="B11" s="10">
        <v>102.4</v>
      </c>
      <c r="C11" s="10">
        <v>92.8</v>
      </c>
    </row>
    <row r="12" spans="1:3" ht="15.75">
      <c r="A12" s="10" t="s">
        <v>823</v>
      </c>
      <c r="B12" s="10">
        <v>99.8</v>
      </c>
      <c r="C12" s="10">
        <v>72.5</v>
      </c>
    </row>
    <row r="13" spans="1:3" ht="15.75">
      <c r="A13" s="10" t="s">
        <v>824</v>
      </c>
      <c r="B13" s="10">
        <v>97.2</v>
      </c>
      <c r="C13" s="10">
        <v>63</v>
      </c>
    </row>
    <row r="14" spans="1:3" ht="15.75">
      <c r="A14" s="10" t="s">
        <v>825</v>
      </c>
      <c r="B14" s="10">
        <v>111.8</v>
      </c>
      <c r="C14" s="10">
        <v>121.2</v>
      </c>
    </row>
    <row r="15" spans="1:3" ht="15.75">
      <c r="A15" s="10" t="s">
        <v>826</v>
      </c>
      <c r="B15" s="10">
        <v>102.5</v>
      </c>
      <c r="C15" s="10">
        <v>68.599999999999994</v>
      </c>
    </row>
    <row r="16" spans="1:3" ht="15.75">
      <c r="A16" s="10" t="s">
        <v>827</v>
      </c>
      <c r="B16" s="10">
        <v>96.9</v>
      </c>
      <c r="C16" s="10">
        <v>114.6</v>
      </c>
    </row>
    <row r="17" spans="1:3" ht="15.75">
      <c r="A17" s="10" t="s">
        <v>828</v>
      </c>
      <c r="B17" s="10">
        <v>96</v>
      </c>
      <c r="C17" s="10">
        <v>84.3</v>
      </c>
    </row>
    <row r="18" spans="1:3" ht="15.75">
      <c r="A18" s="10" t="s">
        <v>829</v>
      </c>
      <c r="B18" s="10">
        <v>99.1</v>
      </c>
      <c r="C18" s="10">
        <v>72.8</v>
      </c>
    </row>
    <row r="19" spans="1:3" ht="15.75">
      <c r="A19" s="10" t="s">
        <v>830</v>
      </c>
      <c r="B19" s="10">
        <v>98.8</v>
      </c>
      <c r="C19" s="10">
        <v>69.2</v>
      </c>
    </row>
    <row r="20" spans="1:3" ht="15.75">
      <c r="A20" s="10" t="s">
        <v>831</v>
      </c>
      <c r="B20" s="10">
        <v>94.4</v>
      </c>
      <c r="C20" s="10">
        <v>85.2</v>
      </c>
    </row>
    <row r="21" spans="1:3" ht="15.75">
      <c r="A21" s="10" t="s">
        <v>832</v>
      </c>
      <c r="B21" s="10">
        <v>99.1</v>
      </c>
      <c r="C21" s="10">
        <v>60.2</v>
      </c>
    </row>
    <row r="22" spans="1:3" ht="15.75">
      <c r="A22" s="10" t="s">
        <v>833</v>
      </c>
      <c r="B22" s="10">
        <v>96.6</v>
      </c>
      <c r="C22" s="10">
        <v>79.3</v>
      </c>
    </row>
    <row r="23" spans="1:3" ht="15.75">
      <c r="A23" s="10" t="s">
        <v>834</v>
      </c>
      <c r="B23" s="10">
        <v>97.8</v>
      </c>
      <c r="C23" s="10">
        <v>80</v>
      </c>
    </row>
    <row r="24" spans="1:3" ht="15.75">
      <c r="A24" s="10" t="s">
        <v>835</v>
      </c>
      <c r="B24" s="10">
        <v>98.8</v>
      </c>
      <c r="C24" s="10">
        <v>121.9</v>
      </c>
    </row>
    <row r="25" spans="1:3" ht="15.75">
      <c r="A25" s="10" t="s">
        <v>836</v>
      </c>
      <c r="B25" s="10">
        <v>95.5</v>
      </c>
      <c r="C25" s="10">
        <v>92.2</v>
      </c>
    </row>
    <row r="26" spans="1:3" ht="15.75">
      <c r="A26" s="10" t="s">
        <v>837</v>
      </c>
      <c r="B26" s="10">
        <v>98.8</v>
      </c>
      <c r="C26" s="10">
        <v>107.5</v>
      </c>
    </row>
    <row r="27" spans="1:3" ht="15.75">
      <c r="A27" s="10" t="s">
        <v>838</v>
      </c>
      <c r="B27" s="10">
        <v>97.7</v>
      </c>
      <c r="C27" s="10">
        <v>59.5</v>
      </c>
    </row>
    <row r="28" spans="1:3" ht="15.75">
      <c r="A28" s="10" t="s">
        <v>839</v>
      </c>
      <c r="B28" s="10">
        <v>98</v>
      </c>
      <c r="C28" s="10">
        <v>89.5</v>
      </c>
    </row>
    <row r="29" spans="1:3" ht="15.75">
      <c r="A29" s="10" t="s">
        <v>840</v>
      </c>
      <c r="B29" s="10">
        <v>102.3</v>
      </c>
      <c r="C29" s="10">
        <v>71.599999999999994</v>
      </c>
    </row>
    <row r="30" spans="1:3" ht="15.75">
      <c r="A30" s="10" t="s">
        <v>841</v>
      </c>
      <c r="B30" s="10">
        <v>98.5</v>
      </c>
      <c r="C30" s="10">
        <v>74.099999999999994</v>
      </c>
    </row>
    <row r="31" spans="1:3" ht="15.75">
      <c r="A31" s="10" t="s">
        <v>842</v>
      </c>
      <c r="B31" s="10">
        <v>98.4</v>
      </c>
      <c r="C31" s="10">
        <v>96.3</v>
      </c>
    </row>
    <row r="32" spans="1:3" ht="15.75">
      <c r="A32" s="10" t="s">
        <v>843</v>
      </c>
      <c r="B32" s="10">
        <v>97.8</v>
      </c>
      <c r="C32" s="10">
        <v>68.400000000000006</v>
      </c>
    </row>
    <row r="33" spans="1:3" ht="15.75">
      <c r="A33" s="10" t="s">
        <v>844</v>
      </c>
      <c r="B33" s="10">
        <v>99.7</v>
      </c>
      <c r="C33" s="10">
        <v>123.8</v>
      </c>
    </row>
    <row r="34" spans="1:3" ht="15.75">
      <c r="A34" s="10" t="s">
        <v>845</v>
      </c>
      <c r="B34" s="10">
        <v>98.1</v>
      </c>
      <c r="C34" s="10">
        <v>73</v>
      </c>
    </row>
    <row r="35" spans="1:3" ht="15.75">
      <c r="A35" s="10" t="s">
        <v>846</v>
      </c>
      <c r="B35" s="10">
        <v>99.7</v>
      </c>
      <c r="C35" s="10">
        <v>125.2</v>
      </c>
    </row>
    <row r="36" spans="1:3" ht="15.75">
      <c r="A36" s="10" t="s">
        <v>847</v>
      </c>
      <c r="B36" s="10">
        <v>98.2</v>
      </c>
      <c r="C36" s="10">
        <v>44.8</v>
      </c>
    </row>
    <row r="37" spans="1:3" ht="15.75">
      <c r="A37" s="10" t="s">
        <v>848</v>
      </c>
      <c r="B37" s="10">
        <v>102</v>
      </c>
      <c r="C37" s="10">
        <v>59.3</v>
      </c>
    </row>
    <row r="38" spans="1:3" ht="15.75">
      <c r="A38" s="10" t="s">
        <v>849</v>
      </c>
      <c r="B38" s="10">
        <v>96.9</v>
      </c>
      <c r="C38" s="10">
        <v>89.4</v>
      </c>
    </row>
    <row r="39" spans="1:3" ht="15.75">
      <c r="A39" s="10" t="s">
        <v>850</v>
      </c>
      <c r="B39" s="10">
        <v>95.6</v>
      </c>
      <c r="C39" s="10">
        <v>55.7</v>
      </c>
    </row>
    <row r="40" spans="1:3" ht="15.75">
      <c r="A40" s="10" t="s">
        <v>851</v>
      </c>
      <c r="B40" s="10">
        <v>97.6</v>
      </c>
      <c r="C40" s="10">
        <v>97.6</v>
      </c>
    </row>
    <row r="41" spans="1:3" ht="15.75">
      <c r="A41" s="10" t="s">
        <v>852</v>
      </c>
      <c r="B41" s="10">
        <v>95.7</v>
      </c>
      <c r="C41" s="10">
        <v>100.3</v>
      </c>
    </row>
    <row r="42" spans="1:3" ht="15.75">
      <c r="A42" s="10" t="s">
        <v>853</v>
      </c>
      <c r="B42" s="10">
        <v>99.7</v>
      </c>
      <c r="C42" s="10">
        <v>111.1</v>
      </c>
    </row>
    <row r="43" spans="1:3" ht="15.75">
      <c r="A43" s="10" t="s">
        <v>854</v>
      </c>
      <c r="B43" s="10">
        <v>97.1</v>
      </c>
      <c r="C43" s="10">
        <v>52.1</v>
      </c>
    </row>
    <row r="44" spans="1:3" ht="15.75">
      <c r="A44" s="10" t="s">
        <v>855</v>
      </c>
      <c r="B44" s="10">
        <v>100.2</v>
      </c>
      <c r="C44" s="10">
        <v>53.1</v>
      </c>
    </row>
    <row r="45" spans="1:3" ht="15.75">
      <c r="A45" s="10" t="s">
        <v>856</v>
      </c>
      <c r="B45" s="10">
        <v>97.5</v>
      </c>
      <c r="C45" s="10">
        <v>64.3</v>
      </c>
    </row>
    <row r="46" spans="1:3" ht="15.75">
      <c r="A46" s="10" t="s">
        <v>857</v>
      </c>
      <c r="B46" s="10">
        <v>97.5</v>
      </c>
      <c r="C46" s="10">
        <v>54.7</v>
      </c>
    </row>
    <row r="47" spans="1:3" ht="15.75">
      <c r="A47" s="10" t="s">
        <v>858</v>
      </c>
      <c r="B47" s="10">
        <v>99.5</v>
      </c>
      <c r="C47" s="10">
        <v>68.5</v>
      </c>
    </row>
    <row r="48" spans="1:3" ht="15.75">
      <c r="A48" s="10" t="s">
        <v>859</v>
      </c>
      <c r="B48" s="10">
        <v>97.8</v>
      </c>
      <c r="C48" s="10">
        <v>63.8</v>
      </c>
    </row>
    <row r="49" spans="1:3" ht="15.75">
      <c r="A49" s="10" t="s">
        <v>860</v>
      </c>
      <c r="B49" s="10">
        <v>99.8</v>
      </c>
      <c r="C49" s="10">
        <v>64.7</v>
      </c>
    </row>
    <row r="50" spans="1:3" ht="15.75">
      <c r="A50" s="10" t="s">
        <v>861</v>
      </c>
      <c r="B50" s="10">
        <v>101.9</v>
      </c>
      <c r="C50" s="10">
        <v>91.8</v>
      </c>
    </row>
    <row r="51" spans="1:3" ht="15.75">
      <c r="A51" s="10" t="s">
        <v>862</v>
      </c>
      <c r="B51" s="10">
        <v>99</v>
      </c>
      <c r="C51" s="10">
        <v>86.8</v>
      </c>
    </row>
    <row r="52" spans="1:3" ht="15.75">
      <c r="A52" s="10" t="s">
        <v>863</v>
      </c>
      <c r="B52" s="10">
        <v>98.9</v>
      </c>
      <c r="C52" s="10">
        <v>95</v>
      </c>
    </row>
    <row r="53" spans="1:3" ht="15.75">
      <c r="A53" s="10" t="s">
        <v>864</v>
      </c>
      <c r="B53" s="10">
        <v>98.4</v>
      </c>
      <c r="C53" s="10">
        <v>58.5</v>
      </c>
    </row>
    <row r="54" spans="1:3" ht="15.75">
      <c r="A54" s="10" t="s">
        <v>865</v>
      </c>
      <c r="B54" s="10">
        <v>121.3</v>
      </c>
      <c r="C54" s="10">
        <v>24.1</v>
      </c>
    </row>
    <row r="55" spans="1:3" ht="15.75">
      <c r="A55" s="10" t="s">
        <v>393</v>
      </c>
      <c r="B55" s="10">
        <v>100</v>
      </c>
      <c r="C55" s="10">
        <v>100</v>
      </c>
    </row>
  </sheetData>
  <mergeCells count="1">
    <mergeCell ref="B1:C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896E6-E41B-6242-85D5-04881E54B3F0}">
  <sheetPr codeName="Sheet7">
    <tabColor theme="6"/>
  </sheetPr>
  <dimension ref="A1:G51"/>
  <sheetViews>
    <sheetView workbookViewId="0"/>
  </sheetViews>
  <sheetFormatPr defaultColWidth="16.6640625" defaultRowHeight="11.25"/>
  <cols>
    <col min="1" max="1" width="21.6640625" bestFit="1" customWidth="1"/>
    <col min="2" max="2" width="40" bestFit="1" customWidth="1"/>
    <col min="3" max="3" width="29" bestFit="1" customWidth="1"/>
    <col min="4" max="4" width="40.6640625" bestFit="1" customWidth="1"/>
    <col min="5" max="5" width="47" bestFit="1" customWidth="1"/>
    <col min="6" max="6" width="27.5" bestFit="1" customWidth="1"/>
    <col min="7" max="7" width="28.5" bestFit="1" customWidth="1"/>
  </cols>
  <sheetData>
    <row r="1" spans="1:7" ht="15.75">
      <c r="A1" s="10"/>
      <c r="B1" s="10"/>
      <c r="C1" s="10"/>
      <c r="D1" s="10"/>
      <c r="E1" s="10"/>
      <c r="F1" s="10"/>
    </row>
    <row r="2" spans="1:7" ht="15.75">
      <c r="A2" s="11" t="s">
        <v>866</v>
      </c>
      <c r="B2" s="11" t="s">
        <v>867</v>
      </c>
      <c r="C2" s="11" t="s">
        <v>868</v>
      </c>
      <c r="D2" s="11" t="s">
        <v>869</v>
      </c>
      <c r="E2" s="11" t="s">
        <v>870</v>
      </c>
      <c r="F2" s="11" t="s">
        <v>871</v>
      </c>
      <c r="G2" s="11" t="s">
        <v>872</v>
      </c>
    </row>
    <row r="3" spans="1:7" ht="15.75">
      <c r="A3" s="10" t="s">
        <v>820</v>
      </c>
      <c r="B3" s="10">
        <v>12500</v>
      </c>
      <c r="C3" s="10">
        <v>8770</v>
      </c>
      <c r="D3" s="10"/>
      <c r="E3" s="10"/>
      <c r="F3" s="10">
        <v>6870</v>
      </c>
      <c r="G3" s="12">
        <f>AVERAGE(B3:F3)</f>
        <v>9380</v>
      </c>
    </row>
    <row r="4" spans="1:7" ht="15.75">
      <c r="A4" s="10" t="s">
        <v>821</v>
      </c>
      <c r="B4" s="10">
        <v>9300</v>
      </c>
      <c r="C4" s="10">
        <v>8600</v>
      </c>
      <c r="D4" s="10"/>
      <c r="E4" s="10"/>
      <c r="F4" s="10">
        <v>6870</v>
      </c>
      <c r="G4" s="12">
        <f t="shared" ref="G4:G51" si="0">AVERAGE(B4:F4)</f>
        <v>8256.6666666666661</v>
      </c>
    </row>
    <row r="5" spans="1:7" ht="15.75">
      <c r="A5" s="10" t="s">
        <v>833</v>
      </c>
      <c r="B5" s="10">
        <v>2600</v>
      </c>
      <c r="C5" s="10">
        <v>8770</v>
      </c>
      <c r="D5" s="10"/>
      <c r="E5" s="10"/>
      <c r="F5" s="10">
        <v>6870</v>
      </c>
      <c r="G5" s="12">
        <f t="shared" si="0"/>
        <v>6080</v>
      </c>
    </row>
    <row r="6" spans="1:7" ht="15.75">
      <c r="A6" s="10" t="s">
        <v>834</v>
      </c>
      <c r="B6" s="10">
        <v>8670</v>
      </c>
      <c r="C6" s="10">
        <v>7960</v>
      </c>
      <c r="D6" s="10"/>
      <c r="E6" s="10"/>
      <c r="F6" s="10"/>
      <c r="G6" s="12">
        <f t="shared" si="0"/>
        <v>8315</v>
      </c>
    </row>
    <row r="7" spans="1:7" ht="15.75">
      <c r="A7" s="10" t="s">
        <v>835</v>
      </c>
      <c r="B7" s="10">
        <v>13700</v>
      </c>
      <c r="C7" s="10">
        <v>8770</v>
      </c>
      <c r="D7" s="10"/>
      <c r="E7" s="10"/>
      <c r="F7" s="10">
        <v>6870</v>
      </c>
      <c r="G7" s="12">
        <f t="shared" si="0"/>
        <v>9780</v>
      </c>
    </row>
    <row r="8" spans="1:7" ht="15.75">
      <c r="A8" s="10" t="s">
        <v>843</v>
      </c>
      <c r="B8" s="10">
        <v>5050</v>
      </c>
      <c r="C8" s="10">
        <v>8770</v>
      </c>
      <c r="D8" s="10"/>
      <c r="E8" s="10"/>
      <c r="F8" s="10">
        <v>6870</v>
      </c>
      <c r="G8" s="12">
        <f t="shared" si="0"/>
        <v>6896.666666666667</v>
      </c>
    </row>
    <row r="9" spans="1:7" ht="15.75">
      <c r="A9" s="10" t="s">
        <v>844</v>
      </c>
      <c r="B9" s="10">
        <v>14400</v>
      </c>
      <c r="C9" s="10">
        <v>14800</v>
      </c>
      <c r="D9" s="10"/>
      <c r="E9" s="10"/>
      <c r="F9" s="10">
        <v>13400</v>
      </c>
      <c r="G9" s="12">
        <f t="shared" si="0"/>
        <v>14200</v>
      </c>
    </row>
    <row r="10" spans="1:7" ht="15.75">
      <c r="A10" s="10" t="s">
        <v>846</v>
      </c>
      <c r="B10" s="10">
        <v>3270</v>
      </c>
      <c r="C10" s="10">
        <v>2910</v>
      </c>
      <c r="D10" s="10"/>
      <c r="E10" s="10"/>
      <c r="F10" s="10">
        <v>1580</v>
      </c>
      <c r="G10" s="12">
        <f t="shared" si="0"/>
        <v>2586.6666666666665</v>
      </c>
    </row>
    <row r="11" spans="1:7" ht="15.75">
      <c r="A11" s="10" t="s">
        <v>852</v>
      </c>
      <c r="B11" s="10">
        <v>6800</v>
      </c>
      <c r="C11" s="10">
        <v>7600</v>
      </c>
      <c r="D11" s="10"/>
      <c r="E11" s="10"/>
      <c r="F11" s="10">
        <v>3440</v>
      </c>
      <c r="G11" s="12">
        <f t="shared" si="0"/>
        <v>5946.666666666667</v>
      </c>
    </row>
    <row r="12" spans="1:7" ht="15.75">
      <c r="A12" s="10" t="s">
        <v>853</v>
      </c>
      <c r="B12" s="10">
        <v>16400</v>
      </c>
      <c r="C12" s="10">
        <v>8770</v>
      </c>
      <c r="D12" s="10"/>
      <c r="E12" s="10"/>
      <c r="F12" s="10">
        <v>6870</v>
      </c>
      <c r="G12" s="12">
        <f t="shared" si="0"/>
        <v>10680</v>
      </c>
    </row>
    <row r="13" spans="1:7" ht="15.75">
      <c r="A13" s="10" t="s">
        <v>859</v>
      </c>
      <c r="B13" s="10">
        <v>3900</v>
      </c>
      <c r="C13" s="10">
        <v>8770</v>
      </c>
      <c r="D13" s="10"/>
      <c r="E13" s="10"/>
      <c r="F13" s="10">
        <v>6870</v>
      </c>
      <c r="G13" s="12">
        <f t="shared" si="0"/>
        <v>6513.333333333333</v>
      </c>
    </row>
    <row r="14" spans="1:7" ht="15.75">
      <c r="A14" s="10" t="s">
        <v>836</v>
      </c>
      <c r="B14" s="10">
        <v>5300</v>
      </c>
      <c r="C14" s="10">
        <v>4700</v>
      </c>
      <c r="D14" s="10"/>
      <c r="E14" s="10"/>
      <c r="F14" s="10">
        <v>2740</v>
      </c>
      <c r="G14" s="12">
        <f t="shared" si="0"/>
        <v>4246.666666666667</v>
      </c>
    </row>
    <row r="15" spans="1:7" ht="15.75">
      <c r="A15" s="10" t="s">
        <v>837</v>
      </c>
      <c r="B15" s="10">
        <v>5240</v>
      </c>
      <c r="C15" s="10">
        <v>5270</v>
      </c>
      <c r="D15" s="10"/>
      <c r="E15" s="10"/>
      <c r="F15" s="10">
        <v>1830</v>
      </c>
      <c r="G15" s="12">
        <f t="shared" si="0"/>
        <v>4113.333333333333</v>
      </c>
    </row>
    <row r="16" spans="1:7" ht="15.75">
      <c r="A16" s="10" t="s">
        <v>863</v>
      </c>
      <c r="B16" s="10">
        <v>5190</v>
      </c>
      <c r="C16" s="10">
        <v>5280</v>
      </c>
      <c r="D16" s="10"/>
      <c r="E16" s="10"/>
      <c r="F16" s="10">
        <v>2520</v>
      </c>
      <c r="G16" s="12">
        <f t="shared" si="0"/>
        <v>4330</v>
      </c>
    </row>
    <row r="17" spans="1:7" ht="15.75">
      <c r="A17" s="10" t="s">
        <v>827</v>
      </c>
      <c r="B17" s="10">
        <v>7900</v>
      </c>
      <c r="C17" s="10">
        <v>7900</v>
      </c>
      <c r="D17" s="10"/>
      <c r="E17" s="10"/>
      <c r="F17" s="10">
        <v>3400</v>
      </c>
      <c r="G17" s="12">
        <f t="shared" si="0"/>
        <v>6400</v>
      </c>
    </row>
    <row r="18" spans="1:7" ht="15.75">
      <c r="A18" s="10" t="s">
        <v>828</v>
      </c>
      <c r="B18" s="10">
        <v>7100</v>
      </c>
      <c r="C18" s="10">
        <v>6800</v>
      </c>
      <c r="D18" s="10"/>
      <c r="E18" s="10"/>
      <c r="F18" s="10">
        <v>2490</v>
      </c>
      <c r="G18" s="12">
        <f t="shared" si="0"/>
        <v>5463.333333333333</v>
      </c>
    </row>
    <row r="19" spans="1:7" ht="15.75">
      <c r="A19" s="10" t="s">
        <v>829</v>
      </c>
      <c r="B19" s="10">
        <v>7740</v>
      </c>
      <c r="C19" s="10">
        <v>7810</v>
      </c>
      <c r="D19" s="10"/>
      <c r="E19" s="10"/>
      <c r="F19" s="10">
        <v>3020</v>
      </c>
      <c r="G19" s="12">
        <f t="shared" si="0"/>
        <v>6190</v>
      </c>
    </row>
    <row r="20" spans="1:7" ht="15.75">
      <c r="A20" s="10" t="s">
        <v>839</v>
      </c>
      <c r="B20" s="10">
        <v>3700</v>
      </c>
      <c r="C20" s="10">
        <v>3810</v>
      </c>
      <c r="D20" s="10">
        <v>4800</v>
      </c>
      <c r="E20" s="10">
        <v>3700</v>
      </c>
      <c r="F20" s="10">
        <v>2160</v>
      </c>
      <c r="G20" s="12">
        <f t="shared" si="0"/>
        <v>3634</v>
      </c>
    </row>
    <row r="21" spans="1:7" ht="15.75">
      <c r="A21" s="10" t="s">
        <v>849</v>
      </c>
      <c r="B21" s="10">
        <v>6600</v>
      </c>
      <c r="C21" s="10">
        <v>6800</v>
      </c>
      <c r="D21" s="10"/>
      <c r="E21" s="10"/>
      <c r="F21" s="10">
        <v>3440</v>
      </c>
      <c r="G21" s="12">
        <f t="shared" si="0"/>
        <v>5613.333333333333</v>
      </c>
    </row>
    <row r="22" spans="1:7" ht="15.75">
      <c r="A22" s="10" t="s">
        <v>830</v>
      </c>
      <c r="B22" s="10">
        <v>2100</v>
      </c>
      <c r="C22" s="10">
        <v>2370</v>
      </c>
      <c r="D22" s="10">
        <v>3700</v>
      </c>
      <c r="E22" s="10">
        <v>2250</v>
      </c>
      <c r="F22" s="10">
        <v>1500</v>
      </c>
      <c r="G22" s="12">
        <f t="shared" si="0"/>
        <v>2384</v>
      </c>
    </row>
    <row r="23" spans="1:7" ht="15.75">
      <c r="A23" s="10" t="s">
        <v>841</v>
      </c>
      <c r="B23" s="10">
        <v>3100</v>
      </c>
      <c r="C23" s="10">
        <v>4960</v>
      </c>
      <c r="D23" s="10">
        <v>6530</v>
      </c>
      <c r="E23" s="10">
        <v>3990</v>
      </c>
      <c r="F23" s="10">
        <v>1080</v>
      </c>
      <c r="G23" s="12">
        <f t="shared" si="0"/>
        <v>3932</v>
      </c>
    </row>
    <row r="24" spans="1:7" ht="15.75">
      <c r="A24" s="10" t="s">
        <v>848</v>
      </c>
      <c r="B24" s="10">
        <v>1820</v>
      </c>
      <c r="C24" s="10">
        <v>2060</v>
      </c>
      <c r="D24" s="10"/>
      <c r="E24" s="10"/>
      <c r="F24" s="10">
        <v>840</v>
      </c>
      <c r="G24" s="12">
        <f t="shared" si="0"/>
        <v>1573.3333333333333</v>
      </c>
    </row>
    <row r="25" spans="1:7" ht="15.75">
      <c r="A25" s="10" t="s">
        <v>855</v>
      </c>
      <c r="B25" s="10">
        <v>2190</v>
      </c>
      <c r="C25" s="10">
        <v>3390</v>
      </c>
      <c r="D25" s="10"/>
      <c r="E25" s="10">
        <v>3180</v>
      </c>
      <c r="F25" s="10">
        <v>1060</v>
      </c>
      <c r="G25" s="12">
        <f t="shared" si="0"/>
        <v>2455</v>
      </c>
    </row>
    <row r="26" spans="1:7" ht="15.75">
      <c r="A26" s="10" t="s">
        <v>831</v>
      </c>
      <c r="B26" s="10">
        <v>4000</v>
      </c>
      <c r="C26" s="10">
        <v>4510</v>
      </c>
      <c r="D26" s="10"/>
      <c r="E26" s="10"/>
      <c r="F26" s="10">
        <v>3080</v>
      </c>
      <c r="G26" s="12">
        <f t="shared" si="0"/>
        <v>3863.3333333333335</v>
      </c>
    </row>
    <row r="27" spans="1:7" ht="15.75">
      <c r="A27" s="10" t="s">
        <v>847</v>
      </c>
      <c r="B27" s="10">
        <v>4750</v>
      </c>
      <c r="C27" s="10">
        <v>4290</v>
      </c>
      <c r="D27" s="10"/>
      <c r="E27" s="10"/>
      <c r="F27" s="10">
        <v>4850</v>
      </c>
      <c r="G27" s="12">
        <f t="shared" si="0"/>
        <v>4630</v>
      </c>
    </row>
    <row r="28" spans="1:7" ht="15.75">
      <c r="A28" s="10" t="s">
        <v>856</v>
      </c>
      <c r="B28" s="10">
        <v>4260</v>
      </c>
      <c r="C28" s="10">
        <v>4130</v>
      </c>
      <c r="D28" s="10"/>
      <c r="E28" s="10"/>
      <c r="F28" s="10">
        <v>4000</v>
      </c>
      <c r="G28" s="12">
        <f t="shared" si="0"/>
        <v>4130</v>
      </c>
    </row>
    <row r="29" spans="1:7" ht="15.75">
      <c r="A29" s="10" t="s">
        <v>860</v>
      </c>
      <c r="B29" s="10">
        <v>4700</v>
      </c>
      <c r="C29" s="10">
        <v>4790</v>
      </c>
      <c r="D29" s="10"/>
      <c r="E29" s="10"/>
      <c r="F29" s="10">
        <v>4060</v>
      </c>
      <c r="G29" s="12">
        <f t="shared" si="0"/>
        <v>4516.666666666667</v>
      </c>
    </row>
    <row r="30" spans="1:7" ht="15.75">
      <c r="A30" s="10" t="s">
        <v>862</v>
      </c>
      <c r="B30" s="10">
        <v>2770</v>
      </c>
      <c r="C30" s="10">
        <v>3330</v>
      </c>
      <c r="D30" s="10"/>
      <c r="E30" s="10"/>
      <c r="F30" s="10">
        <v>2200</v>
      </c>
      <c r="G30" s="12">
        <f t="shared" si="0"/>
        <v>2766.6666666666665</v>
      </c>
    </row>
    <row r="31" spans="1:7" ht="15.75">
      <c r="A31" s="10" t="s">
        <v>814</v>
      </c>
      <c r="B31" s="10">
        <v>3200</v>
      </c>
      <c r="C31" s="10">
        <v>3550</v>
      </c>
      <c r="D31" s="10"/>
      <c r="E31" s="10"/>
      <c r="F31" s="10">
        <v>2650</v>
      </c>
      <c r="G31" s="12">
        <f t="shared" si="0"/>
        <v>3133.3333333333335</v>
      </c>
    </row>
    <row r="32" spans="1:7" ht="15.75">
      <c r="A32" s="10" t="s">
        <v>823</v>
      </c>
      <c r="B32" s="10">
        <v>6020</v>
      </c>
      <c r="C32" s="10">
        <v>7300</v>
      </c>
      <c r="D32" s="10">
        <v>8350</v>
      </c>
      <c r="E32" s="10">
        <v>6320</v>
      </c>
      <c r="F32" s="10">
        <v>5530</v>
      </c>
      <c r="G32" s="12">
        <f t="shared" si="0"/>
        <v>6704</v>
      </c>
    </row>
    <row r="33" spans="1:7" ht="15.75">
      <c r="A33" s="10" t="s">
        <v>824</v>
      </c>
      <c r="B33" s="10">
        <v>3670</v>
      </c>
      <c r="C33" s="10">
        <v>3480</v>
      </c>
      <c r="D33" s="10">
        <v>4350</v>
      </c>
      <c r="E33" s="10">
        <v>3130</v>
      </c>
      <c r="F33" s="10">
        <v>4060</v>
      </c>
      <c r="G33" s="12">
        <f t="shared" si="0"/>
        <v>3738</v>
      </c>
    </row>
    <row r="34" spans="1:7" ht="15.75">
      <c r="A34" s="10" t="s">
        <v>854</v>
      </c>
      <c r="B34" s="10">
        <v>3600</v>
      </c>
      <c r="C34" s="10">
        <v>2900</v>
      </c>
      <c r="D34" s="10"/>
      <c r="E34" s="10"/>
      <c r="F34" s="10">
        <v>3350</v>
      </c>
      <c r="G34" s="12">
        <f t="shared" si="0"/>
        <v>3283.3333333333335</v>
      </c>
    </row>
    <row r="35" spans="1:7" ht="15.75">
      <c r="A35" s="10" t="s">
        <v>817</v>
      </c>
      <c r="B35" s="10">
        <v>3390</v>
      </c>
      <c r="C35" s="10">
        <v>2930</v>
      </c>
      <c r="D35" s="10">
        <v>3420</v>
      </c>
      <c r="E35" s="10">
        <v>2130</v>
      </c>
      <c r="F35" s="10">
        <v>2700</v>
      </c>
      <c r="G35" s="12">
        <f t="shared" si="0"/>
        <v>2914</v>
      </c>
    </row>
    <row r="36" spans="1:7" ht="15.75">
      <c r="A36" s="10" t="s">
        <v>832</v>
      </c>
      <c r="B36" s="10">
        <v>3220</v>
      </c>
      <c r="C36" s="10">
        <v>2980</v>
      </c>
      <c r="D36" s="10">
        <v>2880</v>
      </c>
      <c r="E36" s="10">
        <v>3020</v>
      </c>
      <c r="F36" s="10">
        <v>2950</v>
      </c>
      <c r="G36" s="12">
        <f t="shared" si="0"/>
        <v>3010</v>
      </c>
    </row>
    <row r="37" spans="1:7" ht="15.75">
      <c r="A37" s="10" t="s">
        <v>838</v>
      </c>
      <c r="B37" s="10">
        <v>2860</v>
      </c>
      <c r="C37" s="10">
        <v>3150</v>
      </c>
      <c r="D37" s="10">
        <v>3700</v>
      </c>
      <c r="E37" s="10">
        <v>2830</v>
      </c>
      <c r="F37" s="10">
        <v>2480</v>
      </c>
      <c r="G37" s="12">
        <f t="shared" si="0"/>
        <v>3004</v>
      </c>
    </row>
    <row r="38" spans="1:7" ht="15.75">
      <c r="A38" s="10" t="s">
        <v>850</v>
      </c>
      <c r="B38" s="10">
        <v>2020</v>
      </c>
      <c r="C38" s="10">
        <v>1810</v>
      </c>
      <c r="D38" s="10"/>
      <c r="E38" s="10">
        <v>1790</v>
      </c>
      <c r="F38" s="10">
        <v>1600</v>
      </c>
      <c r="G38" s="12">
        <f t="shared" si="0"/>
        <v>1805</v>
      </c>
    </row>
    <row r="39" spans="1:7" ht="15.75">
      <c r="A39" s="10" t="s">
        <v>857</v>
      </c>
      <c r="B39" s="10">
        <v>2380</v>
      </c>
      <c r="C39" s="10">
        <v>2150</v>
      </c>
      <c r="D39" s="10">
        <v>2540</v>
      </c>
      <c r="E39" s="10">
        <v>2090</v>
      </c>
      <c r="F39" s="10">
        <v>1800</v>
      </c>
      <c r="G39" s="12">
        <f t="shared" si="0"/>
        <v>2192</v>
      </c>
    </row>
    <row r="40" spans="1:7" ht="15.75">
      <c r="A40" s="10" t="s">
        <v>816</v>
      </c>
      <c r="B40" s="10">
        <v>3900</v>
      </c>
      <c r="C40" s="10">
        <v>7700</v>
      </c>
      <c r="D40" s="10">
        <v>7700</v>
      </c>
      <c r="E40" s="10"/>
      <c r="F40" s="10"/>
      <c r="G40" s="12">
        <f t="shared" si="0"/>
        <v>6433.333333333333</v>
      </c>
    </row>
    <row r="41" spans="1:7" ht="15.75">
      <c r="A41" s="10" t="s">
        <v>819</v>
      </c>
      <c r="B41" s="10">
        <v>1610</v>
      </c>
      <c r="C41" s="10">
        <v>2240</v>
      </c>
      <c r="D41" s="10">
        <v>5400</v>
      </c>
      <c r="E41" s="10">
        <v>1400</v>
      </c>
      <c r="F41" s="10">
        <v>875</v>
      </c>
      <c r="G41" s="12">
        <f t="shared" si="0"/>
        <v>2305</v>
      </c>
    </row>
    <row r="42" spans="1:7" ht="15.75">
      <c r="A42" s="10" t="s">
        <v>826</v>
      </c>
      <c r="B42" s="10">
        <v>3350</v>
      </c>
      <c r="C42" s="10">
        <v>4450</v>
      </c>
      <c r="D42" s="10">
        <v>6800</v>
      </c>
      <c r="E42" s="10">
        <v>1890</v>
      </c>
      <c r="F42" s="10">
        <v>1700</v>
      </c>
      <c r="G42" s="12">
        <f t="shared" si="0"/>
        <v>3638</v>
      </c>
    </row>
    <row r="43" spans="1:7" ht="15.75">
      <c r="A43" s="10" t="s">
        <v>840</v>
      </c>
      <c r="B43" s="10">
        <v>930</v>
      </c>
      <c r="C43" s="10">
        <v>1050</v>
      </c>
      <c r="D43" s="10">
        <v>3050</v>
      </c>
      <c r="E43" s="10">
        <v>835</v>
      </c>
      <c r="F43" s="10">
        <v>700</v>
      </c>
      <c r="G43" s="12">
        <f t="shared" si="0"/>
        <v>1313</v>
      </c>
    </row>
    <row r="44" spans="1:7" ht="15.75">
      <c r="A44" s="10" t="s">
        <v>842</v>
      </c>
      <c r="B44" s="10">
        <v>1010</v>
      </c>
      <c r="C44" s="10"/>
      <c r="D44" s="10"/>
      <c r="E44" s="10"/>
      <c r="F44" s="10"/>
      <c r="G44" s="12">
        <f t="shared" si="0"/>
        <v>1010</v>
      </c>
    </row>
    <row r="45" spans="1:7" ht="15.75">
      <c r="A45" s="10" t="s">
        <v>845</v>
      </c>
      <c r="B45" s="10">
        <v>600</v>
      </c>
      <c r="C45" s="10">
        <v>1660</v>
      </c>
      <c r="D45" s="10">
        <v>4550</v>
      </c>
      <c r="E45" s="10">
        <v>485</v>
      </c>
      <c r="F45" s="10">
        <v>440</v>
      </c>
      <c r="G45" s="12">
        <f t="shared" si="0"/>
        <v>1547</v>
      </c>
    </row>
    <row r="46" spans="1:7" ht="15.75">
      <c r="A46" s="10" t="s">
        <v>858</v>
      </c>
      <c r="B46" s="10">
        <v>2620</v>
      </c>
      <c r="C46" s="10">
        <v>4190</v>
      </c>
      <c r="D46" s="10">
        <v>6650</v>
      </c>
      <c r="E46" s="10">
        <v>1550</v>
      </c>
      <c r="F46" s="10">
        <v>1370</v>
      </c>
      <c r="G46" s="12">
        <f t="shared" si="0"/>
        <v>3276</v>
      </c>
    </row>
    <row r="47" spans="1:7" ht="15.75">
      <c r="A47" s="10" t="s">
        <v>864</v>
      </c>
      <c r="B47" s="10">
        <v>790</v>
      </c>
      <c r="C47" s="10">
        <v>1600</v>
      </c>
      <c r="D47" s="10">
        <v>2550</v>
      </c>
      <c r="E47" s="10">
        <v>890</v>
      </c>
      <c r="F47" s="10">
        <v>610</v>
      </c>
      <c r="G47" s="12">
        <f t="shared" si="0"/>
        <v>1288</v>
      </c>
    </row>
    <row r="48" spans="1:7" ht="15.75">
      <c r="A48" s="10" t="s">
        <v>818</v>
      </c>
      <c r="B48" s="10">
        <v>10900</v>
      </c>
      <c r="C48" s="10">
        <v>13860</v>
      </c>
      <c r="D48" s="10">
        <v>16300</v>
      </c>
      <c r="E48" s="10">
        <v>5900</v>
      </c>
      <c r="F48" s="10">
        <v>3100</v>
      </c>
      <c r="G48" s="12">
        <f t="shared" si="0"/>
        <v>10012</v>
      </c>
    </row>
    <row r="49" spans="1:7" ht="15.75">
      <c r="A49" s="10" t="s">
        <v>851</v>
      </c>
      <c r="B49" s="10">
        <v>2790</v>
      </c>
      <c r="C49" s="10">
        <v>3310</v>
      </c>
      <c r="D49" s="10">
        <v>5800</v>
      </c>
      <c r="E49" s="10">
        <v>2340</v>
      </c>
      <c r="F49" s="10">
        <v>830</v>
      </c>
      <c r="G49" s="12">
        <f t="shared" si="0"/>
        <v>3014</v>
      </c>
    </row>
    <row r="50" spans="1:7" ht="15.75">
      <c r="A50" s="10" t="s">
        <v>861</v>
      </c>
      <c r="B50" s="10">
        <v>2900</v>
      </c>
      <c r="C50" s="10">
        <v>2700</v>
      </c>
      <c r="D50" s="10">
        <v>7800</v>
      </c>
      <c r="E50" s="10">
        <v>1310</v>
      </c>
      <c r="F50" s="10">
        <v>750</v>
      </c>
      <c r="G50" s="12">
        <f t="shared" si="0"/>
        <v>3092</v>
      </c>
    </row>
    <row r="51" spans="1:7" ht="15.75">
      <c r="A51" s="10" t="s">
        <v>393</v>
      </c>
      <c r="B51" s="10">
        <v>3380</v>
      </c>
      <c r="C51" s="10">
        <v>4420</v>
      </c>
      <c r="D51" s="10"/>
      <c r="E51" s="10"/>
      <c r="F51" s="10">
        <v>1480</v>
      </c>
      <c r="G51" s="12">
        <f t="shared" si="0"/>
        <v>3093.3333333333335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41800-5F15-2947-A8B2-8772B8C9B93B}">
  <sheetPr codeName="Sheet9">
    <tabColor rgb="FF7030A0"/>
  </sheetPr>
  <dimension ref="A1:T108"/>
  <sheetViews>
    <sheetView zoomScale="70" zoomScaleNormal="70" workbookViewId="0"/>
  </sheetViews>
  <sheetFormatPr defaultColWidth="7.1640625" defaultRowHeight="11.25"/>
  <cols>
    <col min="1" max="1" width="7" bestFit="1" customWidth="1"/>
    <col min="2" max="2" width="18" bestFit="1" customWidth="1"/>
    <col min="3" max="3" width="17.1640625" bestFit="1" customWidth="1"/>
    <col min="4" max="4" width="15" bestFit="1" customWidth="1"/>
    <col min="5" max="5" width="19.1640625" bestFit="1" customWidth="1"/>
    <col min="6" max="6" width="17.1640625" bestFit="1" customWidth="1"/>
    <col min="7" max="7" width="16.6640625" bestFit="1" customWidth="1"/>
    <col min="8" max="8" width="29.1640625" bestFit="1" customWidth="1"/>
    <col min="9" max="9" width="13" bestFit="1" customWidth="1"/>
    <col min="10" max="10" width="12" bestFit="1" customWidth="1"/>
    <col min="11" max="11" width="13.1640625" bestFit="1" customWidth="1"/>
    <col min="12" max="12" width="11.5" bestFit="1" customWidth="1"/>
    <col min="13" max="13" width="17.1640625" bestFit="1" customWidth="1"/>
    <col min="14" max="14" width="10.5" bestFit="1" customWidth="1"/>
    <col min="15" max="15" width="8.6640625" bestFit="1" customWidth="1"/>
    <col min="16" max="16" width="7.6640625" customWidth="1"/>
    <col min="17" max="17" width="8.6640625" bestFit="1" customWidth="1"/>
    <col min="18" max="18" width="10.1640625" bestFit="1" customWidth="1"/>
  </cols>
  <sheetData>
    <row r="1" spans="1:20">
      <c r="A1" s="138" t="s">
        <v>394</v>
      </c>
      <c r="B1" s="138" t="s">
        <v>873</v>
      </c>
      <c r="C1" s="138" t="s">
        <v>874</v>
      </c>
      <c r="D1" s="138" t="s">
        <v>875</v>
      </c>
      <c r="E1" s="138" t="s">
        <v>876</v>
      </c>
      <c r="F1" s="138" t="s">
        <v>877</v>
      </c>
      <c r="G1" s="138" t="s">
        <v>878</v>
      </c>
      <c r="H1" s="138" t="s">
        <v>879</v>
      </c>
      <c r="I1" s="138" t="s">
        <v>880</v>
      </c>
      <c r="J1" s="138" t="s">
        <v>881</v>
      </c>
      <c r="K1" s="138" t="s">
        <v>882</v>
      </c>
      <c r="L1" s="138" t="s">
        <v>883</v>
      </c>
      <c r="M1" s="138" t="s">
        <v>884</v>
      </c>
      <c r="N1" s="138" t="s">
        <v>885</v>
      </c>
      <c r="O1" s="138" t="s">
        <v>886</v>
      </c>
      <c r="P1" s="138" t="s">
        <v>887</v>
      </c>
      <c r="Q1" s="100" t="s">
        <v>888</v>
      </c>
      <c r="R1" s="100" t="s">
        <v>419</v>
      </c>
    </row>
    <row r="2" spans="1:20">
      <c r="A2" s="97">
        <v>1</v>
      </c>
      <c r="B2">
        <v>18.5</v>
      </c>
      <c r="C2">
        <v>1560</v>
      </c>
      <c r="D2">
        <v>14394</v>
      </c>
      <c r="E2">
        <v>120</v>
      </c>
      <c r="F2">
        <v>60</v>
      </c>
      <c r="G2" t="s">
        <v>425</v>
      </c>
      <c r="H2">
        <v>13.5</v>
      </c>
      <c r="I2">
        <v>1300</v>
      </c>
      <c r="J2">
        <v>1100</v>
      </c>
      <c r="K2" t="s">
        <v>424</v>
      </c>
      <c r="L2">
        <v>1.25</v>
      </c>
      <c r="M2" t="s">
        <v>421</v>
      </c>
      <c r="N2" s="98" t="s">
        <v>444</v>
      </c>
      <c r="O2" s="143" t="s">
        <v>425</v>
      </c>
      <c r="P2" t="s">
        <v>422</v>
      </c>
      <c r="Q2" s="147">
        <v>99.419499999999999</v>
      </c>
      <c r="R2" s="147">
        <v>1839.2601</v>
      </c>
    </row>
    <row r="3" spans="1:20">
      <c r="A3" s="97">
        <v>2</v>
      </c>
      <c r="B3" s="144">
        <v>24</v>
      </c>
      <c r="C3">
        <v>1560</v>
      </c>
      <c r="D3">
        <v>14394</v>
      </c>
      <c r="E3">
        <v>120</v>
      </c>
      <c r="F3">
        <v>60</v>
      </c>
      <c r="G3" t="s">
        <v>425</v>
      </c>
      <c r="H3">
        <v>13.5</v>
      </c>
      <c r="I3">
        <v>1300</v>
      </c>
      <c r="J3">
        <v>1100</v>
      </c>
      <c r="K3" t="s">
        <v>424</v>
      </c>
      <c r="L3">
        <v>1.25</v>
      </c>
      <c r="M3" t="s">
        <v>421</v>
      </c>
      <c r="N3" s="98" t="s">
        <v>444</v>
      </c>
      <c r="O3" s="143" t="s">
        <v>425</v>
      </c>
      <c r="P3" t="s">
        <v>422</v>
      </c>
      <c r="Q3" s="147">
        <v>82.341200000000001</v>
      </c>
      <c r="R3" s="147">
        <v>1976.19</v>
      </c>
    </row>
    <row r="4" spans="1:20">
      <c r="A4" s="97">
        <v>3</v>
      </c>
      <c r="B4" s="144">
        <v>10</v>
      </c>
      <c r="C4">
        <v>1560</v>
      </c>
      <c r="D4">
        <v>14394</v>
      </c>
      <c r="E4">
        <v>120</v>
      </c>
      <c r="F4">
        <v>60</v>
      </c>
      <c r="G4" t="s">
        <v>425</v>
      </c>
      <c r="H4">
        <v>13.5</v>
      </c>
      <c r="I4">
        <v>1300</v>
      </c>
      <c r="J4">
        <v>1100</v>
      </c>
      <c r="K4" t="s">
        <v>424</v>
      </c>
      <c r="L4">
        <v>1.25</v>
      </c>
      <c r="M4" t="s">
        <v>421</v>
      </c>
      <c r="N4" s="98" t="s">
        <v>444</v>
      </c>
      <c r="O4" s="143" t="s">
        <v>425</v>
      </c>
      <c r="P4" t="s">
        <v>422</v>
      </c>
      <c r="Q4" s="147">
        <v>160.53290000000001</v>
      </c>
      <c r="R4" s="147">
        <v>1605.3286000000001</v>
      </c>
    </row>
    <row r="5" spans="1:20">
      <c r="A5" s="97">
        <v>4</v>
      </c>
      <c r="B5">
        <v>18.5</v>
      </c>
      <c r="C5" s="144">
        <v>2500</v>
      </c>
      <c r="D5">
        <v>14394</v>
      </c>
      <c r="E5">
        <v>120</v>
      </c>
      <c r="F5">
        <v>60</v>
      </c>
      <c r="G5" t="s">
        <v>425</v>
      </c>
      <c r="H5">
        <v>13.5</v>
      </c>
      <c r="I5">
        <v>1300</v>
      </c>
      <c r="J5">
        <v>1100</v>
      </c>
      <c r="K5" t="s">
        <v>424</v>
      </c>
      <c r="L5">
        <v>1.25</v>
      </c>
      <c r="M5" t="s">
        <v>421</v>
      </c>
      <c r="N5" s="98" t="s">
        <v>444</v>
      </c>
      <c r="O5" s="143" t="s">
        <v>425</v>
      </c>
      <c r="P5" t="s">
        <v>422</v>
      </c>
      <c r="Q5" s="147">
        <v>73.178899999999999</v>
      </c>
      <c r="R5" s="147">
        <v>1353.8104000000001</v>
      </c>
    </row>
    <row r="6" spans="1:20">
      <c r="A6" s="97">
        <v>5</v>
      </c>
      <c r="B6">
        <v>18.5</v>
      </c>
      <c r="C6" s="144">
        <v>800</v>
      </c>
      <c r="D6">
        <v>14394</v>
      </c>
      <c r="E6">
        <v>120</v>
      </c>
      <c r="F6">
        <v>60</v>
      </c>
      <c r="G6" t="s">
        <v>425</v>
      </c>
      <c r="H6">
        <v>13.5</v>
      </c>
      <c r="I6">
        <v>1300</v>
      </c>
      <c r="J6">
        <v>1100</v>
      </c>
      <c r="K6" t="s">
        <v>424</v>
      </c>
      <c r="L6">
        <v>1.25</v>
      </c>
      <c r="M6" t="s">
        <v>421</v>
      </c>
      <c r="N6" s="98" t="s">
        <v>444</v>
      </c>
      <c r="O6" s="143" t="s">
        <v>425</v>
      </c>
      <c r="P6" t="s">
        <v>422</v>
      </c>
      <c r="Q6" s="147">
        <v>157.68450000000001</v>
      </c>
      <c r="R6" s="147">
        <v>2917.1626000000001</v>
      </c>
    </row>
    <row r="7" spans="1:20">
      <c r="A7" s="97">
        <v>6</v>
      </c>
      <c r="B7">
        <v>18.5</v>
      </c>
      <c r="C7">
        <v>1560</v>
      </c>
      <c r="D7" s="144">
        <v>5000</v>
      </c>
      <c r="E7">
        <v>120</v>
      </c>
      <c r="F7">
        <v>60</v>
      </c>
      <c r="G7" t="s">
        <v>425</v>
      </c>
      <c r="H7">
        <v>13.5</v>
      </c>
      <c r="I7">
        <v>1300</v>
      </c>
      <c r="J7">
        <v>1100</v>
      </c>
      <c r="K7" t="s">
        <v>424</v>
      </c>
      <c r="L7">
        <v>1.25</v>
      </c>
      <c r="M7" t="s">
        <v>421</v>
      </c>
      <c r="N7" s="98" t="s">
        <v>444</v>
      </c>
      <c r="O7" s="143" t="s">
        <v>425</v>
      </c>
      <c r="P7" t="s">
        <v>422</v>
      </c>
      <c r="Q7" s="147">
        <v>80.328900000000004</v>
      </c>
      <c r="R7" s="147">
        <v>1486.0836999999999</v>
      </c>
    </row>
    <row r="8" spans="1:20">
      <c r="A8" s="97">
        <v>7</v>
      </c>
      <c r="B8">
        <v>18.5</v>
      </c>
      <c r="C8">
        <v>1560</v>
      </c>
      <c r="D8" s="144">
        <v>25000</v>
      </c>
      <c r="E8">
        <v>120</v>
      </c>
      <c r="F8">
        <v>60</v>
      </c>
      <c r="G8" t="s">
        <v>425</v>
      </c>
      <c r="H8">
        <v>13.5</v>
      </c>
      <c r="I8">
        <v>1300</v>
      </c>
      <c r="J8">
        <v>1100</v>
      </c>
      <c r="K8" t="s">
        <v>424</v>
      </c>
      <c r="L8">
        <v>1.25</v>
      </c>
      <c r="M8" t="s">
        <v>421</v>
      </c>
      <c r="N8" s="98" t="s">
        <v>444</v>
      </c>
      <c r="O8" s="143" t="s">
        <v>425</v>
      </c>
      <c r="P8" t="s">
        <v>422</v>
      </c>
      <c r="Q8" s="147">
        <v>121.1172</v>
      </c>
      <c r="R8" s="147">
        <v>2240.6680999999999</v>
      </c>
    </row>
    <row r="9" spans="1:20">
      <c r="A9" s="97">
        <v>8</v>
      </c>
      <c r="B9">
        <v>18.5</v>
      </c>
      <c r="C9">
        <v>1560</v>
      </c>
      <c r="D9">
        <v>14394</v>
      </c>
      <c r="E9" s="144">
        <v>60</v>
      </c>
      <c r="F9" s="144">
        <v>60</v>
      </c>
      <c r="G9" t="s">
        <v>425</v>
      </c>
      <c r="H9">
        <v>13.5</v>
      </c>
      <c r="I9">
        <v>1300</v>
      </c>
      <c r="J9">
        <v>1100</v>
      </c>
      <c r="K9" t="s">
        <v>424</v>
      </c>
      <c r="L9">
        <v>1.25</v>
      </c>
      <c r="M9" t="s">
        <v>421</v>
      </c>
      <c r="N9" s="98" t="s">
        <v>444</v>
      </c>
      <c r="O9" s="143" t="s">
        <v>425</v>
      </c>
      <c r="P9" t="s">
        <v>422</v>
      </c>
      <c r="Q9" s="147">
        <v>96.336699999999993</v>
      </c>
      <c r="R9" s="147">
        <v>1782.2293999999999</v>
      </c>
      <c r="T9" s="99" t="s">
        <v>889</v>
      </c>
    </row>
    <row r="10" spans="1:20">
      <c r="A10" s="97">
        <v>9</v>
      </c>
      <c r="B10">
        <v>18.5</v>
      </c>
      <c r="C10">
        <v>1560</v>
      </c>
      <c r="D10">
        <v>14394</v>
      </c>
      <c r="E10" s="144">
        <v>240</v>
      </c>
      <c r="F10" s="144">
        <v>240</v>
      </c>
      <c r="G10" t="s">
        <v>425</v>
      </c>
      <c r="H10">
        <v>13.5</v>
      </c>
      <c r="I10">
        <v>1300</v>
      </c>
      <c r="J10">
        <v>1100</v>
      </c>
      <c r="K10" t="s">
        <v>424</v>
      </c>
      <c r="L10">
        <v>1.25</v>
      </c>
      <c r="M10" t="s">
        <v>421</v>
      </c>
      <c r="N10" s="98" t="s">
        <v>444</v>
      </c>
      <c r="O10" s="143" t="s">
        <v>425</v>
      </c>
      <c r="P10" t="s">
        <v>422</v>
      </c>
      <c r="Q10" s="147">
        <v>122.6078</v>
      </c>
      <c r="R10" s="147">
        <v>2268.2440000000001</v>
      </c>
      <c r="T10" s="149" t="s">
        <v>890</v>
      </c>
    </row>
    <row r="11" spans="1:20">
      <c r="A11" s="97">
        <v>10</v>
      </c>
      <c r="B11">
        <v>18.5</v>
      </c>
      <c r="C11">
        <v>1560</v>
      </c>
      <c r="D11">
        <v>14394</v>
      </c>
      <c r="E11">
        <v>120</v>
      </c>
      <c r="F11">
        <v>60</v>
      </c>
      <c r="G11" s="144" t="s">
        <v>766</v>
      </c>
      <c r="H11">
        <v>13.5</v>
      </c>
      <c r="I11">
        <v>1300</v>
      </c>
      <c r="J11">
        <v>1100</v>
      </c>
      <c r="K11" t="s">
        <v>424</v>
      </c>
      <c r="L11">
        <v>1.25</v>
      </c>
      <c r="M11" t="s">
        <v>421</v>
      </c>
      <c r="N11" s="98" t="s">
        <v>444</v>
      </c>
      <c r="O11" s="143" t="s">
        <v>425</v>
      </c>
      <c r="P11" t="s">
        <v>422</v>
      </c>
      <c r="Q11" s="147">
        <v>90.091899999999995</v>
      </c>
      <c r="R11" s="147">
        <v>1666.7007000000001</v>
      </c>
    </row>
    <row r="12" spans="1:20">
      <c r="A12" s="97">
        <v>11</v>
      </c>
      <c r="B12">
        <v>18.5</v>
      </c>
      <c r="C12">
        <v>1560</v>
      </c>
      <c r="D12">
        <v>14394</v>
      </c>
      <c r="E12">
        <v>120</v>
      </c>
      <c r="F12">
        <v>60</v>
      </c>
      <c r="G12" s="144" t="s">
        <v>425</v>
      </c>
      <c r="H12">
        <v>13.5</v>
      </c>
      <c r="I12">
        <v>1300</v>
      </c>
      <c r="J12">
        <v>1100</v>
      </c>
      <c r="K12" t="s">
        <v>424</v>
      </c>
      <c r="L12">
        <v>1.25</v>
      </c>
      <c r="M12" t="s">
        <v>421</v>
      </c>
      <c r="N12" s="98" t="s">
        <v>444</v>
      </c>
      <c r="O12" s="143" t="s">
        <v>425</v>
      </c>
      <c r="P12" t="s">
        <v>422</v>
      </c>
      <c r="Q12" s="147">
        <v>99.419499999999999</v>
      </c>
      <c r="R12" s="147">
        <v>1839.2601</v>
      </c>
    </row>
    <row r="13" spans="1:20">
      <c r="A13" s="97">
        <v>12</v>
      </c>
      <c r="B13">
        <v>18.5</v>
      </c>
      <c r="C13">
        <v>1560</v>
      </c>
      <c r="D13">
        <v>14394</v>
      </c>
      <c r="E13">
        <v>120</v>
      </c>
      <c r="F13">
        <v>60</v>
      </c>
      <c r="G13" t="s">
        <v>425</v>
      </c>
      <c r="H13" s="144">
        <v>5</v>
      </c>
      <c r="I13">
        <v>1300</v>
      </c>
      <c r="J13">
        <v>1100</v>
      </c>
      <c r="K13" t="s">
        <v>424</v>
      </c>
      <c r="L13">
        <v>1.25</v>
      </c>
      <c r="M13" t="s">
        <v>421</v>
      </c>
      <c r="N13" s="98" t="s">
        <v>444</v>
      </c>
      <c r="O13" s="143" t="s">
        <v>425</v>
      </c>
      <c r="P13" t="s">
        <v>422</v>
      </c>
      <c r="Q13" s="147">
        <v>97.113399999999999</v>
      </c>
      <c r="R13" s="147">
        <v>1796.5975000000001</v>
      </c>
    </row>
    <row r="14" spans="1:20">
      <c r="A14" s="97">
        <v>13</v>
      </c>
      <c r="B14">
        <v>18.5</v>
      </c>
      <c r="C14">
        <v>1560</v>
      </c>
      <c r="D14">
        <v>14394</v>
      </c>
      <c r="E14">
        <v>120</v>
      </c>
      <c r="F14">
        <v>60</v>
      </c>
      <c r="G14" t="s">
        <v>425</v>
      </c>
      <c r="H14" s="144">
        <v>25</v>
      </c>
      <c r="I14">
        <v>1300</v>
      </c>
      <c r="J14">
        <v>1100</v>
      </c>
      <c r="K14" t="s">
        <v>424</v>
      </c>
      <c r="L14">
        <v>1.25</v>
      </c>
      <c r="M14" t="s">
        <v>421</v>
      </c>
      <c r="N14" s="98" t="s">
        <v>444</v>
      </c>
      <c r="O14" s="143" t="s">
        <v>425</v>
      </c>
      <c r="P14" t="s">
        <v>422</v>
      </c>
      <c r="Q14" s="147">
        <v>102.5395</v>
      </c>
      <c r="R14" s="147">
        <v>1896.98</v>
      </c>
    </row>
    <row r="15" spans="1:20">
      <c r="A15" s="97">
        <v>14</v>
      </c>
      <c r="B15">
        <v>18.5</v>
      </c>
      <c r="C15">
        <v>1560</v>
      </c>
      <c r="D15">
        <v>14394</v>
      </c>
      <c r="E15">
        <v>120</v>
      </c>
      <c r="F15">
        <v>60</v>
      </c>
      <c r="G15" t="s">
        <v>425</v>
      </c>
      <c r="H15">
        <v>13.5</v>
      </c>
      <c r="I15" s="144">
        <v>800</v>
      </c>
      <c r="J15" s="144">
        <v>800</v>
      </c>
      <c r="K15" t="s">
        <v>424</v>
      </c>
      <c r="L15">
        <v>1.25</v>
      </c>
      <c r="M15" t="s">
        <v>421</v>
      </c>
      <c r="N15" s="98" t="s">
        <v>444</v>
      </c>
      <c r="O15" s="143" t="s">
        <v>425</v>
      </c>
      <c r="P15" t="s">
        <v>422</v>
      </c>
      <c r="Q15" s="147">
        <v>97.246300000000005</v>
      </c>
      <c r="R15" s="147">
        <v>1799.057</v>
      </c>
    </row>
    <row r="16" spans="1:20">
      <c r="A16" s="97">
        <v>15</v>
      </c>
      <c r="B16">
        <v>18.5</v>
      </c>
      <c r="C16">
        <v>1560</v>
      </c>
      <c r="D16">
        <v>14394</v>
      </c>
      <c r="E16">
        <v>120</v>
      </c>
      <c r="F16">
        <v>60</v>
      </c>
      <c r="G16" t="s">
        <v>425</v>
      </c>
      <c r="H16">
        <v>13.5</v>
      </c>
      <c r="I16" s="144">
        <v>1800</v>
      </c>
      <c r="J16" s="144">
        <v>1800</v>
      </c>
      <c r="K16" t="s">
        <v>424</v>
      </c>
      <c r="L16">
        <v>1.25</v>
      </c>
      <c r="M16" t="s">
        <v>421</v>
      </c>
      <c r="N16" s="98" t="s">
        <v>444</v>
      </c>
      <c r="O16" s="143" t="s">
        <v>425</v>
      </c>
      <c r="P16" t="s">
        <v>422</v>
      </c>
      <c r="Q16" s="147">
        <v>102.0886</v>
      </c>
      <c r="R16" s="147">
        <v>1888.6388999999999</v>
      </c>
    </row>
    <row r="17" spans="1:18">
      <c r="A17" s="97">
        <v>16</v>
      </c>
      <c r="B17">
        <v>18.5</v>
      </c>
      <c r="C17">
        <v>1560</v>
      </c>
      <c r="D17">
        <v>14394</v>
      </c>
      <c r="E17">
        <v>120</v>
      </c>
      <c r="F17">
        <v>60</v>
      </c>
      <c r="G17" t="s">
        <v>425</v>
      </c>
      <c r="H17">
        <v>13.5</v>
      </c>
      <c r="I17">
        <v>1300</v>
      </c>
      <c r="J17">
        <v>1100</v>
      </c>
      <c r="K17" s="144" t="s">
        <v>413</v>
      </c>
      <c r="L17">
        <v>1.25</v>
      </c>
      <c r="M17" t="s">
        <v>421</v>
      </c>
      <c r="N17" s="98" t="s">
        <v>444</v>
      </c>
      <c r="O17" s="143" t="s">
        <v>425</v>
      </c>
      <c r="P17" t="s">
        <v>422</v>
      </c>
      <c r="Q17" s="147">
        <v>96.704099999999997</v>
      </c>
      <c r="R17" s="147">
        <v>1789.0264999999999</v>
      </c>
    </row>
    <row r="18" spans="1:18">
      <c r="A18" s="97">
        <v>17</v>
      </c>
      <c r="B18">
        <v>18.5</v>
      </c>
      <c r="C18">
        <v>1560</v>
      </c>
      <c r="D18">
        <v>14394</v>
      </c>
      <c r="E18">
        <v>120</v>
      </c>
      <c r="F18">
        <v>60</v>
      </c>
      <c r="G18" t="s">
        <v>425</v>
      </c>
      <c r="H18">
        <v>13.5</v>
      </c>
      <c r="I18">
        <v>1300</v>
      </c>
      <c r="J18">
        <v>1100</v>
      </c>
      <c r="K18" s="144" t="s">
        <v>424</v>
      </c>
      <c r="L18">
        <v>1.25</v>
      </c>
      <c r="M18" t="s">
        <v>421</v>
      </c>
      <c r="N18" s="98" t="s">
        <v>444</v>
      </c>
      <c r="O18" s="143" t="s">
        <v>425</v>
      </c>
      <c r="P18" t="s">
        <v>422</v>
      </c>
      <c r="Q18" s="147">
        <v>99.419499999999999</v>
      </c>
      <c r="R18" s="147">
        <v>1839.2601</v>
      </c>
    </row>
    <row r="19" spans="1:18">
      <c r="A19" s="97">
        <v>18</v>
      </c>
      <c r="B19">
        <v>18.5</v>
      </c>
      <c r="C19">
        <v>1560</v>
      </c>
      <c r="D19">
        <v>14394</v>
      </c>
      <c r="E19">
        <v>120</v>
      </c>
      <c r="F19">
        <v>60</v>
      </c>
      <c r="G19" t="s">
        <v>425</v>
      </c>
      <c r="H19">
        <v>13.5</v>
      </c>
      <c r="I19">
        <v>1300</v>
      </c>
      <c r="J19">
        <v>1100</v>
      </c>
      <c r="K19" t="s">
        <v>424</v>
      </c>
      <c r="L19" s="144">
        <v>0.75</v>
      </c>
      <c r="M19" t="s">
        <v>421</v>
      </c>
      <c r="N19" s="98" t="s">
        <v>444</v>
      </c>
      <c r="O19" s="143" t="s">
        <v>425</v>
      </c>
      <c r="P19" t="s">
        <v>422</v>
      </c>
      <c r="Q19" s="147">
        <v>98.087900000000005</v>
      </c>
      <c r="R19" s="147">
        <v>1814.6262999999999</v>
      </c>
    </row>
    <row r="20" spans="1:18">
      <c r="A20" s="97">
        <v>19</v>
      </c>
      <c r="B20">
        <v>18.5</v>
      </c>
      <c r="C20">
        <v>1560</v>
      </c>
      <c r="D20">
        <v>14394</v>
      </c>
      <c r="E20">
        <v>120</v>
      </c>
      <c r="F20">
        <v>60</v>
      </c>
      <c r="G20" t="s">
        <v>425</v>
      </c>
      <c r="H20">
        <v>13.5</v>
      </c>
      <c r="I20">
        <v>1300</v>
      </c>
      <c r="J20">
        <v>1100</v>
      </c>
      <c r="K20" t="s">
        <v>424</v>
      </c>
      <c r="L20" s="144">
        <v>1.75</v>
      </c>
      <c r="M20" t="s">
        <v>421</v>
      </c>
      <c r="N20" s="98" t="s">
        <v>444</v>
      </c>
      <c r="O20" s="143" t="s">
        <v>425</v>
      </c>
      <c r="P20" t="s">
        <v>422</v>
      </c>
      <c r="Q20" s="147">
        <v>100.8171</v>
      </c>
      <c r="R20" s="147">
        <v>1865.1170999999999</v>
      </c>
    </row>
    <row r="21" spans="1:18">
      <c r="A21" s="97">
        <v>20</v>
      </c>
      <c r="B21">
        <v>18.5</v>
      </c>
      <c r="C21">
        <v>1560</v>
      </c>
      <c r="D21">
        <v>14394</v>
      </c>
      <c r="E21">
        <v>120</v>
      </c>
      <c r="F21">
        <v>60</v>
      </c>
      <c r="G21" t="s">
        <v>425</v>
      </c>
      <c r="H21">
        <v>13.5</v>
      </c>
      <c r="I21">
        <v>1300</v>
      </c>
      <c r="J21">
        <v>1100</v>
      </c>
      <c r="K21" t="s">
        <v>424</v>
      </c>
      <c r="L21">
        <v>1.25</v>
      </c>
      <c r="M21" s="144" t="s">
        <v>422</v>
      </c>
      <c r="N21" s="98" t="s">
        <v>444</v>
      </c>
      <c r="O21" s="143" t="s">
        <v>425</v>
      </c>
      <c r="P21" t="s">
        <v>422</v>
      </c>
      <c r="Q21" s="147">
        <v>101.33880000000001</v>
      </c>
      <c r="R21" s="147">
        <v>1874.7687000000001</v>
      </c>
    </row>
    <row r="22" spans="1:18">
      <c r="A22" s="97">
        <v>21</v>
      </c>
      <c r="B22">
        <v>18.5</v>
      </c>
      <c r="C22">
        <v>1560</v>
      </c>
      <c r="D22">
        <v>14394</v>
      </c>
      <c r="E22">
        <v>120</v>
      </c>
      <c r="F22">
        <v>60</v>
      </c>
      <c r="G22" t="s">
        <v>425</v>
      </c>
      <c r="H22">
        <v>13.5</v>
      </c>
      <c r="I22">
        <v>1300</v>
      </c>
      <c r="J22">
        <v>1100</v>
      </c>
      <c r="K22" t="s">
        <v>424</v>
      </c>
      <c r="L22">
        <v>1.25</v>
      </c>
      <c r="M22" s="144" t="s">
        <v>421</v>
      </c>
      <c r="N22" s="98" t="s">
        <v>444</v>
      </c>
      <c r="O22" s="143" t="s">
        <v>425</v>
      </c>
      <c r="P22" t="s">
        <v>422</v>
      </c>
      <c r="Q22" s="147">
        <v>99.419499999999999</v>
      </c>
      <c r="R22" s="147">
        <v>1839.2601</v>
      </c>
    </row>
    <row r="23" spans="1:18">
      <c r="A23" s="97">
        <v>22</v>
      </c>
      <c r="B23">
        <v>18.5</v>
      </c>
      <c r="C23">
        <v>1560</v>
      </c>
      <c r="D23">
        <v>14394</v>
      </c>
      <c r="E23">
        <v>120</v>
      </c>
      <c r="F23">
        <v>60</v>
      </c>
      <c r="G23" t="s">
        <v>425</v>
      </c>
      <c r="H23">
        <v>13.5</v>
      </c>
      <c r="I23">
        <v>1300</v>
      </c>
      <c r="J23">
        <v>1100</v>
      </c>
      <c r="K23" t="s">
        <v>424</v>
      </c>
      <c r="L23">
        <v>1.25</v>
      </c>
      <c r="M23" t="s">
        <v>421</v>
      </c>
      <c r="N23" s="145" t="s">
        <v>891</v>
      </c>
      <c r="O23" s="143" t="s">
        <v>425</v>
      </c>
      <c r="P23" t="s">
        <v>422</v>
      </c>
      <c r="Q23" s="147">
        <v>98.045299999999997</v>
      </c>
      <c r="R23" s="147">
        <v>1813.8384000000001</v>
      </c>
    </row>
    <row r="24" spans="1:18">
      <c r="A24" s="97">
        <v>23</v>
      </c>
      <c r="B24">
        <v>18.5</v>
      </c>
      <c r="C24">
        <v>1560</v>
      </c>
      <c r="D24">
        <v>14394</v>
      </c>
      <c r="E24">
        <v>120</v>
      </c>
      <c r="F24">
        <v>60</v>
      </c>
      <c r="G24" t="s">
        <v>425</v>
      </c>
      <c r="H24">
        <v>13.5</v>
      </c>
      <c r="I24">
        <v>1300</v>
      </c>
      <c r="J24">
        <v>1100</v>
      </c>
      <c r="K24" t="s">
        <v>424</v>
      </c>
      <c r="L24">
        <v>1.25</v>
      </c>
      <c r="M24" t="s">
        <v>421</v>
      </c>
      <c r="N24" s="145" t="s">
        <v>444</v>
      </c>
      <c r="O24" s="143" t="s">
        <v>425</v>
      </c>
      <c r="P24" t="s">
        <v>422</v>
      </c>
      <c r="Q24" s="147">
        <v>99.419499999999999</v>
      </c>
      <c r="R24" s="147">
        <v>1839.2601</v>
      </c>
    </row>
    <row r="25" spans="1:18">
      <c r="A25" s="97">
        <v>24</v>
      </c>
      <c r="B25">
        <v>18.5</v>
      </c>
      <c r="C25">
        <v>1560</v>
      </c>
      <c r="D25">
        <v>14394</v>
      </c>
      <c r="E25">
        <v>120</v>
      </c>
      <c r="F25">
        <v>60</v>
      </c>
      <c r="G25" t="s">
        <v>425</v>
      </c>
      <c r="H25">
        <v>13.5</v>
      </c>
      <c r="I25">
        <v>1300</v>
      </c>
      <c r="J25">
        <v>1100</v>
      </c>
      <c r="K25" t="s">
        <v>424</v>
      </c>
      <c r="L25">
        <v>1.25</v>
      </c>
      <c r="M25" t="s">
        <v>421</v>
      </c>
      <c r="N25" s="98" t="s">
        <v>444</v>
      </c>
      <c r="O25" s="146" t="s">
        <v>766</v>
      </c>
      <c r="P25" t="s">
        <v>422</v>
      </c>
      <c r="Q25" s="147">
        <v>100.6477</v>
      </c>
      <c r="R25" s="147">
        <v>1861.9820999999999</v>
      </c>
    </row>
    <row r="26" spans="1:18">
      <c r="A26" s="97">
        <v>24</v>
      </c>
      <c r="B26">
        <v>18.5</v>
      </c>
      <c r="C26">
        <v>1560</v>
      </c>
      <c r="D26">
        <v>14394</v>
      </c>
      <c r="E26">
        <v>120</v>
      </c>
      <c r="F26">
        <v>60</v>
      </c>
      <c r="G26" t="s">
        <v>425</v>
      </c>
      <c r="H26">
        <v>13.5</v>
      </c>
      <c r="I26">
        <v>1300</v>
      </c>
      <c r="J26">
        <v>1100</v>
      </c>
      <c r="K26" t="s">
        <v>424</v>
      </c>
      <c r="L26">
        <v>1.25</v>
      </c>
      <c r="M26" t="s">
        <v>421</v>
      </c>
      <c r="N26" s="98" t="s">
        <v>444</v>
      </c>
      <c r="O26" s="146" t="s">
        <v>425</v>
      </c>
      <c r="P26" t="s">
        <v>422</v>
      </c>
      <c r="Q26" s="147">
        <v>99.419499999999999</v>
      </c>
      <c r="R26" s="147">
        <v>1839.2601</v>
      </c>
    </row>
    <row r="27" spans="1:18">
      <c r="A27" s="97">
        <v>24</v>
      </c>
      <c r="B27">
        <v>18.5</v>
      </c>
      <c r="C27">
        <v>1560</v>
      </c>
      <c r="D27">
        <v>14394</v>
      </c>
      <c r="E27">
        <v>120</v>
      </c>
      <c r="F27">
        <v>60</v>
      </c>
      <c r="G27" t="s">
        <v>425</v>
      </c>
      <c r="H27">
        <v>13.5</v>
      </c>
      <c r="I27">
        <v>1300</v>
      </c>
      <c r="J27">
        <v>1100</v>
      </c>
      <c r="K27" t="s">
        <v>424</v>
      </c>
      <c r="L27">
        <v>1.25</v>
      </c>
      <c r="M27" t="s">
        <v>421</v>
      </c>
      <c r="N27" s="98" t="s">
        <v>444</v>
      </c>
      <c r="O27" s="143" t="s">
        <v>425</v>
      </c>
      <c r="P27" s="144" t="s">
        <v>421</v>
      </c>
      <c r="Q27" s="147">
        <v>98.171899999999994</v>
      </c>
      <c r="R27" s="147">
        <v>1816.1795</v>
      </c>
    </row>
    <row r="28" spans="1:18">
      <c r="A28" s="97">
        <v>24</v>
      </c>
      <c r="B28">
        <v>18.5</v>
      </c>
      <c r="C28">
        <v>1560</v>
      </c>
      <c r="D28">
        <v>14394</v>
      </c>
      <c r="E28">
        <v>120</v>
      </c>
      <c r="F28">
        <v>60</v>
      </c>
      <c r="G28" t="s">
        <v>425</v>
      </c>
      <c r="H28">
        <v>13.5</v>
      </c>
      <c r="I28">
        <v>1300</v>
      </c>
      <c r="J28">
        <v>1100</v>
      </c>
      <c r="K28" t="s">
        <v>424</v>
      </c>
      <c r="L28">
        <v>1.25</v>
      </c>
      <c r="M28" t="s">
        <v>421</v>
      </c>
      <c r="N28" s="98" t="s">
        <v>444</v>
      </c>
      <c r="O28" s="143" t="s">
        <v>425</v>
      </c>
      <c r="P28" s="144" t="s">
        <v>422</v>
      </c>
      <c r="Q28" s="147">
        <v>99.419499999999999</v>
      </c>
      <c r="R28" s="147">
        <v>1839.2601</v>
      </c>
    </row>
    <row r="29" spans="1:18">
      <c r="A29" s="97">
        <v>25</v>
      </c>
      <c r="B29">
        <v>18.5</v>
      </c>
      <c r="C29">
        <v>1560</v>
      </c>
      <c r="D29">
        <v>14394</v>
      </c>
      <c r="E29">
        <v>120</v>
      </c>
      <c r="F29">
        <v>60</v>
      </c>
      <c r="G29" t="s">
        <v>425</v>
      </c>
      <c r="H29">
        <v>13.5</v>
      </c>
      <c r="I29">
        <v>1300</v>
      </c>
      <c r="J29">
        <v>1100</v>
      </c>
      <c r="K29" t="s">
        <v>424</v>
      </c>
      <c r="L29">
        <v>1.25</v>
      </c>
      <c r="M29" t="s">
        <v>421</v>
      </c>
      <c r="N29" s="98" t="s">
        <v>444</v>
      </c>
      <c r="O29" s="143" t="s">
        <v>425</v>
      </c>
      <c r="P29" t="s">
        <v>422</v>
      </c>
      <c r="Q29" s="147">
        <v>99.419499999999999</v>
      </c>
      <c r="R29" s="147">
        <v>1839.2601</v>
      </c>
    </row>
    <row r="35" spans="1:20">
      <c r="A35" s="138" t="s">
        <v>394</v>
      </c>
      <c r="B35" s="138" t="s">
        <v>873</v>
      </c>
      <c r="C35" s="138" t="s">
        <v>874</v>
      </c>
      <c r="D35" s="138" t="s">
        <v>875</v>
      </c>
      <c r="E35" s="138" t="s">
        <v>876</v>
      </c>
      <c r="F35" s="138" t="s">
        <v>877</v>
      </c>
      <c r="G35" s="138" t="s">
        <v>878</v>
      </c>
      <c r="H35" s="138" t="s">
        <v>879</v>
      </c>
      <c r="I35" s="138" t="s">
        <v>880</v>
      </c>
      <c r="J35" s="138" t="s">
        <v>881</v>
      </c>
      <c r="K35" s="138" t="s">
        <v>882</v>
      </c>
      <c r="L35" s="138" t="s">
        <v>883</v>
      </c>
      <c r="M35" s="138" t="s">
        <v>884</v>
      </c>
      <c r="N35" s="138" t="s">
        <v>885</v>
      </c>
      <c r="O35" s="138" t="s">
        <v>886</v>
      </c>
      <c r="P35" s="138" t="s">
        <v>892</v>
      </c>
      <c r="Q35" s="100" t="s">
        <v>888</v>
      </c>
      <c r="R35" s="100" t="s">
        <v>419</v>
      </c>
    </row>
    <row r="36" spans="1:20">
      <c r="A36" s="97">
        <v>1</v>
      </c>
      <c r="B36">
        <v>10</v>
      </c>
      <c r="C36">
        <v>1004</v>
      </c>
      <c r="D36">
        <v>11080</v>
      </c>
      <c r="E36">
        <v>200</v>
      </c>
      <c r="F36">
        <v>170</v>
      </c>
      <c r="G36" t="s">
        <v>766</v>
      </c>
      <c r="H36">
        <v>30</v>
      </c>
      <c r="I36">
        <v>30</v>
      </c>
      <c r="J36">
        <v>30</v>
      </c>
      <c r="K36" t="s">
        <v>413</v>
      </c>
      <c r="L36">
        <v>0.75</v>
      </c>
      <c r="M36" t="s">
        <v>421</v>
      </c>
      <c r="N36" s="98" t="s">
        <v>444</v>
      </c>
      <c r="O36" s="143" t="s">
        <v>766</v>
      </c>
      <c r="P36" t="s">
        <v>413</v>
      </c>
      <c r="Q36" s="147">
        <v>426.84719999999999</v>
      </c>
      <c r="R36" s="147">
        <v>4268.4718000000003</v>
      </c>
    </row>
    <row r="37" spans="1:20">
      <c r="A37" s="97">
        <v>2</v>
      </c>
      <c r="B37" s="144">
        <v>6</v>
      </c>
      <c r="C37">
        <v>1004</v>
      </c>
      <c r="D37">
        <v>11080</v>
      </c>
      <c r="E37">
        <v>200</v>
      </c>
      <c r="F37">
        <v>170</v>
      </c>
      <c r="G37" t="s">
        <v>766</v>
      </c>
      <c r="H37">
        <v>30</v>
      </c>
      <c r="I37">
        <v>30</v>
      </c>
      <c r="J37">
        <v>30</v>
      </c>
      <c r="K37" t="s">
        <v>413</v>
      </c>
      <c r="L37">
        <v>0.75</v>
      </c>
      <c r="M37" t="s">
        <v>421</v>
      </c>
      <c r="N37" s="98" t="s">
        <v>444</v>
      </c>
      <c r="O37" s="143" t="s">
        <v>766</v>
      </c>
      <c r="P37" t="s">
        <v>413</v>
      </c>
      <c r="Q37" s="147">
        <v>584.1585</v>
      </c>
      <c r="R37" s="147">
        <v>3504.951</v>
      </c>
    </row>
    <row r="38" spans="1:20">
      <c r="A38" s="97">
        <v>3</v>
      </c>
      <c r="B38" s="144">
        <v>14</v>
      </c>
      <c r="C38">
        <v>1004</v>
      </c>
      <c r="D38">
        <v>11080</v>
      </c>
      <c r="E38">
        <v>200</v>
      </c>
      <c r="F38">
        <v>170</v>
      </c>
      <c r="G38" t="s">
        <v>766</v>
      </c>
      <c r="H38">
        <v>30</v>
      </c>
      <c r="I38">
        <v>30</v>
      </c>
      <c r="J38">
        <v>30</v>
      </c>
      <c r="K38" t="s">
        <v>413</v>
      </c>
      <c r="L38">
        <v>0.75</v>
      </c>
      <c r="M38" t="s">
        <v>421</v>
      </c>
      <c r="N38" s="98" t="s">
        <v>444</v>
      </c>
      <c r="O38" s="143" t="s">
        <v>766</v>
      </c>
      <c r="P38" t="s">
        <v>413</v>
      </c>
      <c r="Q38" s="147">
        <v>392.18380000000002</v>
      </c>
      <c r="R38" s="147">
        <v>5490.5726000000004</v>
      </c>
    </row>
    <row r="39" spans="1:20">
      <c r="A39" s="97">
        <v>4</v>
      </c>
      <c r="B39">
        <v>10</v>
      </c>
      <c r="C39" s="144">
        <v>500</v>
      </c>
      <c r="D39">
        <v>11080</v>
      </c>
      <c r="E39">
        <v>200</v>
      </c>
      <c r="F39">
        <v>170</v>
      </c>
      <c r="G39" t="s">
        <v>766</v>
      </c>
      <c r="H39">
        <v>30</v>
      </c>
      <c r="I39">
        <v>30</v>
      </c>
      <c r="J39">
        <v>30</v>
      </c>
      <c r="K39" t="s">
        <v>413</v>
      </c>
      <c r="L39">
        <v>0.75</v>
      </c>
      <c r="M39" t="s">
        <v>421</v>
      </c>
      <c r="N39" s="98" t="s">
        <v>444</v>
      </c>
      <c r="O39" s="143" t="s">
        <v>766</v>
      </c>
      <c r="P39" t="s">
        <v>413</v>
      </c>
      <c r="Q39" s="147">
        <v>858.95180000000005</v>
      </c>
      <c r="R39" s="147">
        <v>8589.5185000000001</v>
      </c>
    </row>
    <row r="40" spans="1:20">
      <c r="A40" s="97">
        <v>5</v>
      </c>
      <c r="B40">
        <v>10</v>
      </c>
      <c r="C40" s="144">
        <v>1500</v>
      </c>
      <c r="D40">
        <v>11080</v>
      </c>
      <c r="E40">
        <v>200</v>
      </c>
      <c r="F40">
        <v>170</v>
      </c>
      <c r="G40" t="s">
        <v>766</v>
      </c>
      <c r="H40">
        <v>30</v>
      </c>
      <c r="I40">
        <v>30</v>
      </c>
      <c r="J40">
        <v>30</v>
      </c>
      <c r="K40" t="s">
        <v>413</v>
      </c>
      <c r="L40">
        <v>0.75</v>
      </c>
      <c r="M40" t="s">
        <v>421</v>
      </c>
      <c r="N40" s="98" t="s">
        <v>444</v>
      </c>
      <c r="O40" s="143" t="s">
        <v>766</v>
      </c>
      <c r="P40" t="s">
        <v>413</v>
      </c>
      <c r="Q40" s="147">
        <v>358.62650000000002</v>
      </c>
      <c r="R40" s="147">
        <v>3586.2653</v>
      </c>
    </row>
    <row r="41" spans="1:20">
      <c r="A41" s="97">
        <v>6</v>
      </c>
      <c r="B41">
        <v>10</v>
      </c>
      <c r="C41">
        <v>1004</v>
      </c>
      <c r="D41" s="144">
        <v>5000</v>
      </c>
      <c r="E41">
        <v>200</v>
      </c>
      <c r="F41">
        <v>170</v>
      </c>
      <c r="G41" t="s">
        <v>766</v>
      </c>
      <c r="H41">
        <v>30</v>
      </c>
      <c r="I41">
        <v>30</v>
      </c>
      <c r="J41">
        <v>30</v>
      </c>
      <c r="K41" t="s">
        <v>413</v>
      </c>
      <c r="L41">
        <v>0.75</v>
      </c>
      <c r="M41" t="s">
        <v>421</v>
      </c>
      <c r="N41" s="98" t="s">
        <v>444</v>
      </c>
      <c r="O41" s="143" t="s">
        <v>766</v>
      </c>
      <c r="P41" t="s">
        <v>413</v>
      </c>
      <c r="Q41" s="147">
        <v>349.14069999999998</v>
      </c>
      <c r="R41" s="147">
        <v>3491.4065999999998</v>
      </c>
    </row>
    <row r="42" spans="1:20">
      <c r="A42" s="97">
        <v>7</v>
      </c>
      <c r="B42">
        <v>10</v>
      </c>
      <c r="C42">
        <v>1004</v>
      </c>
      <c r="D42" s="144">
        <v>15000</v>
      </c>
      <c r="E42">
        <v>200</v>
      </c>
      <c r="F42">
        <v>170</v>
      </c>
      <c r="G42" t="s">
        <v>766</v>
      </c>
      <c r="H42">
        <v>30</v>
      </c>
      <c r="I42">
        <v>30</v>
      </c>
      <c r="J42">
        <v>30</v>
      </c>
      <c r="K42" t="s">
        <v>413</v>
      </c>
      <c r="L42">
        <v>0.75</v>
      </c>
      <c r="M42" t="s">
        <v>421</v>
      </c>
      <c r="N42" s="98" t="s">
        <v>444</v>
      </c>
      <c r="O42" s="143" t="s">
        <v>766</v>
      </c>
      <c r="P42" t="s">
        <v>413</v>
      </c>
      <c r="Q42" s="147">
        <v>472.58760000000001</v>
      </c>
      <c r="R42" s="147">
        <v>4725.8762999999999</v>
      </c>
      <c r="T42" s="99" t="s">
        <v>889</v>
      </c>
    </row>
    <row r="43" spans="1:20">
      <c r="A43" s="97">
        <v>8</v>
      </c>
      <c r="B43">
        <v>10</v>
      </c>
      <c r="C43">
        <v>1004</v>
      </c>
      <c r="D43">
        <v>11080</v>
      </c>
      <c r="E43">
        <v>200</v>
      </c>
      <c r="F43">
        <v>170</v>
      </c>
      <c r="G43" t="s">
        <v>766</v>
      </c>
      <c r="H43">
        <v>30</v>
      </c>
      <c r="I43">
        <v>30</v>
      </c>
      <c r="J43">
        <v>30</v>
      </c>
      <c r="K43" t="s">
        <v>413</v>
      </c>
      <c r="L43">
        <v>0.75</v>
      </c>
      <c r="M43" t="s">
        <v>421</v>
      </c>
      <c r="N43" s="98" t="s">
        <v>444</v>
      </c>
      <c r="O43" s="143" t="s">
        <v>766</v>
      </c>
      <c r="P43" t="s">
        <v>413</v>
      </c>
      <c r="Q43" s="147">
        <v>426.84719999999999</v>
      </c>
      <c r="R43" s="147">
        <v>4268.4718000000003</v>
      </c>
      <c r="T43" s="149" t="s">
        <v>890</v>
      </c>
    </row>
    <row r="44" spans="1:20">
      <c r="A44" s="97">
        <v>9</v>
      </c>
      <c r="B44">
        <v>10</v>
      </c>
      <c r="C44">
        <v>1004</v>
      </c>
      <c r="D44">
        <v>11080</v>
      </c>
      <c r="E44">
        <v>200</v>
      </c>
      <c r="F44">
        <v>170</v>
      </c>
      <c r="G44" t="s">
        <v>766</v>
      </c>
      <c r="H44">
        <v>30</v>
      </c>
      <c r="I44">
        <v>30</v>
      </c>
      <c r="J44">
        <v>30</v>
      </c>
      <c r="K44" t="s">
        <v>413</v>
      </c>
      <c r="L44">
        <v>0.75</v>
      </c>
      <c r="M44" t="s">
        <v>421</v>
      </c>
      <c r="N44" s="98" t="s">
        <v>444</v>
      </c>
      <c r="O44" s="143" t="s">
        <v>766</v>
      </c>
      <c r="P44" t="s">
        <v>413</v>
      </c>
      <c r="Q44" s="147">
        <v>426.84719999999999</v>
      </c>
      <c r="R44" s="147">
        <v>4268.4718000000003</v>
      </c>
    </row>
    <row r="45" spans="1:20">
      <c r="A45" s="97">
        <v>10</v>
      </c>
      <c r="B45">
        <v>10</v>
      </c>
      <c r="C45">
        <v>1004</v>
      </c>
      <c r="D45">
        <v>11080</v>
      </c>
      <c r="E45">
        <v>200</v>
      </c>
      <c r="F45">
        <v>170</v>
      </c>
      <c r="G45" t="s">
        <v>766</v>
      </c>
      <c r="H45">
        <v>30</v>
      </c>
      <c r="I45">
        <v>30</v>
      </c>
      <c r="J45">
        <v>30</v>
      </c>
      <c r="K45" t="s">
        <v>413</v>
      </c>
      <c r="L45">
        <v>0.75</v>
      </c>
      <c r="M45" t="s">
        <v>421</v>
      </c>
      <c r="N45" s="98" t="s">
        <v>444</v>
      </c>
      <c r="O45" s="143" t="s">
        <v>766</v>
      </c>
      <c r="P45" t="s">
        <v>413</v>
      </c>
      <c r="Q45" s="147">
        <v>426.84719999999999</v>
      </c>
      <c r="R45" s="147">
        <v>4268.4718000000003</v>
      </c>
    </row>
    <row r="46" spans="1:20">
      <c r="A46" s="97">
        <v>11</v>
      </c>
      <c r="B46">
        <v>10</v>
      </c>
      <c r="C46">
        <v>1004</v>
      </c>
      <c r="D46">
        <v>11080</v>
      </c>
      <c r="E46">
        <v>200</v>
      </c>
      <c r="F46">
        <v>170</v>
      </c>
      <c r="G46" t="s">
        <v>766</v>
      </c>
      <c r="H46">
        <v>30</v>
      </c>
      <c r="I46">
        <v>30</v>
      </c>
      <c r="J46">
        <v>30</v>
      </c>
      <c r="K46" t="s">
        <v>413</v>
      </c>
      <c r="L46">
        <v>0.75</v>
      </c>
      <c r="M46" t="s">
        <v>421</v>
      </c>
      <c r="N46" s="98" t="s">
        <v>444</v>
      </c>
      <c r="O46" s="143" t="s">
        <v>766</v>
      </c>
      <c r="P46" t="s">
        <v>413</v>
      </c>
      <c r="Q46" s="147">
        <v>426.84719999999999</v>
      </c>
      <c r="R46" s="147">
        <v>4268.4718000000003</v>
      </c>
    </row>
    <row r="47" spans="1:20">
      <c r="A47" s="97">
        <v>12</v>
      </c>
      <c r="B47">
        <v>10</v>
      </c>
      <c r="C47">
        <v>1004</v>
      </c>
      <c r="D47">
        <v>11080</v>
      </c>
      <c r="E47">
        <v>200</v>
      </c>
      <c r="F47">
        <v>170</v>
      </c>
      <c r="G47" t="s">
        <v>766</v>
      </c>
      <c r="H47" s="144">
        <v>20</v>
      </c>
      <c r="I47">
        <v>30</v>
      </c>
      <c r="J47">
        <v>30</v>
      </c>
      <c r="K47" t="s">
        <v>413</v>
      </c>
      <c r="L47">
        <v>0.75</v>
      </c>
      <c r="M47" t="s">
        <v>421</v>
      </c>
      <c r="N47" s="98" t="s">
        <v>444</v>
      </c>
      <c r="O47" s="143" t="s">
        <v>766</v>
      </c>
      <c r="P47" t="s">
        <v>413</v>
      </c>
      <c r="Q47" s="147">
        <v>369.97140000000002</v>
      </c>
      <c r="R47" s="147">
        <v>3699.7136</v>
      </c>
    </row>
    <row r="48" spans="1:20">
      <c r="A48" s="97">
        <v>13</v>
      </c>
      <c r="B48">
        <v>10</v>
      </c>
      <c r="C48">
        <v>1004</v>
      </c>
      <c r="D48">
        <v>11080</v>
      </c>
      <c r="E48">
        <v>200</v>
      </c>
      <c r="F48">
        <v>170</v>
      </c>
      <c r="G48" t="s">
        <v>766</v>
      </c>
      <c r="H48" s="144">
        <v>40</v>
      </c>
      <c r="I48">
        <v>30</v>
      </c>
      <c r="J48">
        <v>30</v>
      </c>
      <c r="K48" t="s">
        <v>413</v>
      </c>
      <c r="L48">
        <v>0.75</v>
      </c>
      <c r="M48" t="s">
        <v>421</v>
      </c>
      <c r="N48" s="98" t="s">
        <v>444</v>
      </c>
      <c r="O48" s="143" t="s">
        <v>766</v>
      </c>
      <c r="P48" t="s">
        <v>413</v>
      </c>
      <c r="Q48" s="147">
        <v>483.72300000000001</v>
      </c>
      <c r="R48" s="147">
        <v>4837.2299999999996</v>
      </c>
    </row>
    <row r="49" spans="1:18">
      <c r="A49" s="97">
        <v>14</v>
      </c>
      <c r="B49">
        <v>10</v>
      </c>
      <c r="C49">
        <v>1004</v>
      </c>
      <c r="D49">
        <v>11080</v>
      </c>
      <c r="E49">
        <v>200</v>
      </c>
      <c r="F49">
        <v>170</v>
      </c>
      <c r="G49" t="s">
        <v>766</v>
      </c>
      <c r="H49">
        <v>30</v>
      </c>
      <c r="I49">
        <v>30</v>
      </c>
      <c r="J49">
        <v>30</v>
      </c>
      <c r="K49" t="s">
        <v>413</v>
      </c>
      <c r="L49">
        <v>0.75</v>
      </c>
      <c r="M49" t="s">
        <v>421</v>
      </c>
      <c r="N49" s="98" t="s">
        <v>444</v>
      </c>
      <c r="O49" s="143" t="s">
        <v>766</v>
      </c>
      <c r="P49" t="s">
        <v>413</v>
      </c>
      <c r="Q49" s="147">
        <v>426.84719999999999</v>
      </c>
      <c r="R49" s="147">
        <v>4268.4718000000003</v>
      </c>
    </row>
    <row r="50" spans="1:18">
      <c r="A50" s="97">
        <v>15</v>
      </c>
      <c r="B50">
        <v>10</v>
      </c>
      <c r="C50">
        <v>1004</v>
      </c>
      <c r="D50">
        <v>11080</v>
      </c>
      <c r="E50">
        <v>200</v>
      </c>
      <c r="F50">
        <v>170</v>
      </c>
      <c r="G50" t="s">
        <v>766</v>
      </c>
      <c r="H50">
        <v>30</v>
      </c>
      <c r="I50">
        <v>30</v>
      </c>
      <c r="J50">
        <v>30</v>
      </c>
      <c r="K50" t="s">
        <v>413</v>
      </c>
      <c r="L50">
        <v>0.75</v>
      </c>
      <c r="M50" t="s">
        <v>421</v>
      </c>
      <c r="N50" s="98" t="s">
        <v>444</v>
      </c>
      <c r="O50" s="143" t="s">
        <v>766</v>
      </c>
      <c r="P50" t="s">
        <v>413</v>
      </c>
      <c r="Q50" s="147">
        <v>426.84719999999999</v>
      </c>
      <c r="R50" s="147">
        <v>4268.4718000000003</v>
      </c>
    </row>
    <row r="51" spans="1:18">
      <c r="A51" s="97">
        <v>16</v>
      </c>
      <c r="B51">
        <v>10</v>
      </c>
      <c r="C51">
        <v>1004</v>
      </c>
      <c r="D51">
        <v>11080</v>
      </c>
      <c r="E51">
        <v>200</v>
      </c>
      <c r="F51">
        <v>170</v>
      </c>
      <c r="G51" t="s">
        <v>766</v>
      </c>
      <c r="H51">
        <v>30</v>
      </c>
      <c r="I51">
        <v>30</v>
      </c>
      <c r="J51">
        <v>30</v>
      </c>
      <c r="K51" s="144" t="s">
        <v>424</v>
      </c>
      <c r="L51">
        <v>0.75</v>
      </c>
      <c r="M51" t="s">
        <v>421</v>
      </c>
      <c r="N51" s="98" t="s">
        <v>444</v>
      </c>
      <c r="O51" s="143" t="s">
        <v>766</v>
      </c>
      <c r="P51" t="s">
        <v>413</v>
      </c>
      <c r="Q51" s="147">
        <v>444.15289999999999</v>
      </c>
      <c r="R51" s="147">
        <v>4441.5289000000002</v>
      </c>
    </row>
    <row r="52" spans="1:18">
      <c r="A52" s="97">
        <v>17</v>
      </c>
      <c r="B52">
        <v>10</v>
      </c>
      <c r="C52">
        <v>1004</v>
      </c>
      <c r="D52">
        <v>11080</v>
      </c>
      <c r="E52">
        <v>200</v>
      </c>
      <c r="F52">
        <v>170</v>
      </c>
      <c r="G52" t="s">
        <v>766</v>
      </c>
      <c r="H52">
        <v>30</v>
      </c>
      <c r="I52">
        <v>30</v>
      </c>
      <c r="J52">
        <v>30</v>
      </c>
      <c r="K52" s="144" t="s">
        <v>413</v>
      </c>
      <c r="L52">
        <v>0.75</v>
      </c>
      <c r="M52" t="s">
        <v>421</v>
      </c>
      <c r="N52" s="98" t="s">
        <v>444</v>
      </c>
      <c r="O52" s="143" t="s">
        <v>766</v>
      </c>
      <c r="P52" t="s">
        <v>413</v>
      </c>
      <c r="Q52" s="147">
        <v>426.84719999999999</v>
      </c>
      <c r="R52" s="147">
        <v>4268.4718000000003</v>
      </c>
    </row>
    <row r="53" spans="1:18">
      <c r="A53" s="97">
        <v>18</v>
      </c>
      <c r="B53">
        <v>10</v>
      </c>
      <c r="C53">
        <v>1004</v>
      </c>
      <c r="D53">
        <v>11080</v>
      </c>
      <c r="E53">
        <v>200</v>
      </c>
      <c r="F53">
        <v>170</v>
      </c>
      <c r="G53" t="s">
        <v>766</v>
      </c>
      <c r="H53">
        <v>30</v>
      </c>
      <c r="I53">
        <v>30</v>
      </c>
      <c r="J53">
        <v>30</v>
      </c>
      <c r="K53" t="s">
        <v>413</v>
      </c>
      <c r="L53">
        <v>0.75</v>
      </c>
      <c r="M53" t="s">
        <v>421</v>
      </c>
      <c r="N53" s="98" t="s">
        <v>444</v>
      </c>
      <c r="O53" s="143" t="s">
        <v>766</v>
      </c>
      <c r="P53" t="s">
        <v>413</v>
      </c>
      <c r="Q53" s="147">
        <v>426.84719999999999</v>
      </c>
      <c r="R53" s="147">
        <v>4268.4718000000003</v>
      </c>
    </row>
    <row r="54" spans="1:18">
      <c r="A54" s="97">
        <v>19</v>
      </c>
      <c r="B54">
        <v>10</v>
      </c>
      <c r="C54">
        <v>1004</v>
      </c>
      <c r="D54">
        <v>11080</v>
      </c>
      <c r="E54">
        <v>200</v>
      </c>
      <c r="F54">
        <v>170</v>
      </c>
      <c r="G54" t="s">
        <v>766</v>
      </c>
      <c r="H54">
        <v>30</v>
      </c>
      <c r="I54">
        <v>30</v>
      </c>
      <c r="J54">
        <v>30</v>
      </c>
      <c r="K54" t="s">
        <v>413</v>
      </c>
      <c r="L54">
        <v>0.75</v>
      </c>
      <c r="M54" t="s">
        <v>421</v>
      </c>
      <c r="N54" s="98" t="s">
        <v>444</v>
      </c>
      <c r="O54" s="143" t="s">
        <v>766</v>
      </c>
      <c r="P54" t="s">
        <v>413</v>
      </c>
      <c r="Q54" s="147">
        <v>426.84719999999999</v>
      </c>
      <c r="R54" s="147">
        <v>4268.4718000000003</v>
      </c>
    </row>
    <row r="55" spans="1:18">
      <c r="A55" s="97">
        <v>20</v>
      </c>
      <c r="B55">
        <v>10</v>
      </c>
      <c r="C55">
        <v>1004</v>
      </c>
      <c r="D55">
        <v>11080</v>
      </c>
      <c r="E55">
        <v>200</v>
      </c>
      <c r="F55">
        <v>170</v>
      </c>
      <c r="G55" t="s">
        <v>766</v>
      </c>
      <c r="H55">
        <v>30</v>
      </c>
      <c r="I55">
        <v>30</v>
      </c>
      <c r="J55">
        <v>30</v>
      </c>
      <c r="K55" t="s">
        <v>413</v>
      </c>
      <c r="L55">
        <v>0.75</v>
      </c>
      <c r="M55" s="144" t="s">
        <v>422</v>
      </c>
      <c r="N55" s="98" t="s">
        <v>444</v>
      </c>
      <c r="O55" s="143" t="s">
        <v>766</v>
      </c>
      <c r="P55" t="s">
        <v>413</v>
      </c>
      <c r="Q55" s="147">
        <v>435.41919999999999</v>
      </c>
      <c r="R55" s="147">
        <v>4354.192</v>
      </c>
    </row>
    <row r="56" spans="1:18">
      <c r="A56" s="97">
        <v>21</v>
      </c>
      <c r="B56">
        <v>10</v>
      </c>
      <c r="C56">
        <v>1004</v>
      </c>
      <c r="D56">
        <v>11080</v>
      </c>
      <c r="E56">
        <v>200</v>
      </c>
      <c r="F56">
        <v>170</v>
      </c>
      <c r="G56" t="s">
        <v>766</v>
      </c>
      <c r="H56">
        <v>30</v>
      </c>
      <c r="I56">
        <v>30</v>
      </c>
      <c r="J56">
        <v>30</v>
      </c>
      <c r="K56" t="s">
        <v>413</v>
      </c>
      <c r="L56">
        <v>0.75</v>
      </c>
      <c r="M56" s="144" t="s">
        <v>421</v>
      </c>
      <c r="N56" s="98" t="s">
        <v>444</v>
      </c>
      <c r="O56" s="143" t="s">
        <v>766</v>
      </c>
      <c r="P56" t="s">
        <v>413</v>
      </c>
      <c r="Q56" s="147">
        <v>426.84719999999999</v>
      </c>
      <c r="R56" s="147">
        <v>4268.4718000000003</v>
      </c>
    </row>
    <row r="57" spans="1:18">
      <c r="A57" s="97">
        <v>22</v>
      </c>
      <c r="B57">
        <v>10</v>
      </c>
      <c r="C57">
        <v>1004</v>
      </c>
      <c r="D57">
        <v>11080</v>
      </c>
      <c r="E57">
        <v>200</v>
      </c>
      <c r="F57">
        <v>170</v>
      </c>
      <c r="G57" t="s">
        <v>766</v>
      </c>
      <c r="H57">
        <v>30</v>
      </c>
      <c r="I57">
        <v>30</v>
      </c>
      <c r="J57">
        <v>30</v>
      </c>
      <c r="K57" t="s">
        <v>413</v>
      </c>
      <c r="L57">
        <v>0.75</v>
      </c>
      <c r="M57" t="s">
        <v>421</v>
      </c>
      <c r="N57" s="145" t="s">
        <v>891</v>
      </c>
      <c r="O57" s="143" t="s">
        <v>766</v>
      </c>
      <c r="P57" t="s">
        <v>413</v>
      </c>
      <c r="Q57" s="147">
        <v>362.8306</v>
      </c>
      <c r="R57" s="147">
        <v>3628.3058999999998</v>
      </c>
    </row>
    <row r="58" spans="1:18">
      <c r="A58" s="97">
        <v>23</v>
      </c>
      <c r="B58">
        <v>10</v>
      </c>
      <c r="C58">
        <v>1004</v>
      </c>
      <c r="D58">
        <v>11080</v>
      </c>
      <c r="E58">
        <v>200</v>
      </c>
      <c r="F58">
        <v>170</v>
      </c>
      <c r="G58" t="s">
        <v>766</v>
      </c>
      <c r="H58">
        <v>30</v>
      </c>
      <c r="I58">
        <v>30</v>
      </c>
      <c r="J58">
        <v>30</v>
      </c>
      <c r="K58" t="s">
        <v>413</v>
      </c>
      <c r="L58">
        <v>0.75</v>
      </c>
      <c r="M58" t="s">
        <v>421</v>
      </c>
      <c r="N58" s="145" t="s">
        <v>444</v>
      </c>
      <c r="O58" s="143" t="s">
        <v>766</v>
      </c>
      <c r="P58" t="s">
        <v>413</v>
      </c>
      <c r="Q58" s="147">
        <v>426.84719999999999</v>
      </c>
      <c r="R58" s="147">
        <v>4268.4718000000003</v>
      </c>
    </row>
    <row r="59" spans="1:18">
      <c r="A59" s="97">
        <v>24</v>
      </c>
      <c r="B59">
        <v>10</v>
      </c>
      <c r="C59">
        <v>1004</v>
      </c>
      <c r="D59">
        <v>11080</v>
      </c>
      <c r="E59">
        <v>200</v>
      </c>
      <c r="F59">
        <v>170</v>
      </c>
      <c r="G59" t="s">
        <v>766</v>
      </c>
      <c r="H59">
        <v>30</v>
      </c>
      <c r="I59">
        <v>30</v>
      </c>
      <c r="J59">
        <v>30</v>
      </c>
      <c r="K59" t="s">
        <v>413</v>
      </c>
      <c r="L59">
        <v>0.75</v>
      </c>
      <c r="M59" t="s">
        <v>421</v>
      </c>
      <c r="N59" s="98" t="s">
        <v>444</v>
      </c>
      <c r="O59" s="143" t="s">
        <v>766</v>
      </c>
      <c r="P59" t="s">
        <v>413</v>
      </c>
      <c r="Q59" s="147">
        <v>426.84719999999999</v>
      </c>
      <c r="R59" s="147">
        <v>4268.4718000000003</v>
      </c>
    </row>
    <row r="60" spans="1:18">
      <c r="A60" s="97">
        <v>24</v>
      </c>
      <c r="B60">
        <v>10</v>
      </c>
      <c r="C60">
        <v>1004</v>
      </c>
      <c r="D60">
        <v>11080</v>
      </c>
      <c r="E60">
        <v>200</v>
      </c>
      <c r="F60">
        <v>170</v>
      </c>
      <c r="G60" t="s">
        <v>766</v>
      </c>
      <c r="H60">
        <v>30</v>
      </c>
      <c r="I60">
        <v>30</v>
      </c>
      <c r="J60">
        <v>30</v>
      </c>
      <c r="K60" t="s">
        <v>413</v>
      </c>
      <c r="L60">
        <v>0.75</v>
      </c>
      <c r="M60" t="s">
        <v>421</v>
      </c>
      <c r="N60" s="98" t="s">
        <v>444</v>
      </c>
      <c r="O60" s="143" t="s">
        <v>766</v>
      </c>
      <c r="P60" t="s">
        <v>413</v>
      </c>
      <c r="Q60" s="147">
        <v>426.84719999999999</v>
      </c>
      <c r="R60" s="147">
        <v>4268.4718000000003</v>
      </c>
    </row>
    <row r="61" spans="1:18">
      <c r="A61" s="97">
        <v>24</v>
      </c>
      <c r="B61">
        <v>10</v>
      </c>
      <c r="C61">
        <v>1004</v>
      </c>
      <c r="D61">
        <v>11080</v>
      </c>
      <c r="E61">
        <v>200</v>
      </c>
      <c r="F61">
        <v>170</v>
      </c>
      <c r="G61" t="s">
        <v>766</v>
      </c>
      <c r="H61">
        <v>30</v>
      </c>
      <c r="I61">
        <v>30</v>
      </c>
      <c r="J61">
        <v>30</v>
      </c>
      <c r="K61" t="s">
        <v>413</v>
      </c>
      <c r="L61">
        <v>0.75</v>
      </c>
      <c r="M61" t="s">
        <v>421</v>
      </c>
      <c r="N61" s="98" t="s">
        <v>444</v>
      </c>
      <c r="O61" s="143" t="s">
        <v>766</v>
      </c>
      <c r="P61" s="145" t="s">
        <v>893</v>
      </c>
      <c r="Q61" s="147">
        <v>442.44130000000001</v>
      </c>
      <c r="R61" s="147">
        <v>4424.4132</v>
      </c>
    </row>
    <row r="62" spans="1:18">
      <c r="A62" s="97">
        <v>24</v>
      </c>
      <c r="B62">
        <v>10</v>
      </c>
      <c r="C62">
        <v>1004</v>
      </c>
      <c r="D62">
        <v>11080</v>
      </c>
      <c r="E62">
        <v>200</v>
      </c>
      <c r="F62">
        <v>170</v>
      </c>
      <c r="G62" t="s">
        <v>766</v>
      </c>
      <c r="H62">
        <v>30</v>
      </c>
      <c r="I62">
        <v>30</v>
      </c>
      <c r="J62">
        <v>30</v>
      </c>
      <c r="K62" t="s">
        <v>413</v>
      </c>
      <c r="L62">
        <v>0.75</v>
      </c>
      <c r="M62" t="s">
        <v>421</v>
      </c>
      <c r="N62" s="98" t="s">
        <v>444</v>
      </c>
      <c r="O62" s="143" t="s">
        <v>766</v>
      </c>
      <c r="P62" s="145" t="s">
        <v>413</v>
      </c>
      <c r="Q62" s="147">
        <v>426.84719999999999</v>
      </c>
      <c r="R62" s="147">
        <v>4268.4718000000003</v>
      </c>
    </row>
    <row r="63" spans="1:18">
      <c r="A63" s="97">
        <v>25</v>
      </c>
      <c r="B63">
        <v>10</v>
      </c>
      <c r="C63">
        <v>1004</v>
      </c>
      <c r="D63">
        <v>11080</v>
      </c>
      <c r="E63">
        <v>200</v>
      </c>
      <c r="F63">
        <v>170</v>
      </c>
      <c r="G63" t="s">
        <v>766</v>
      </c>
      <c r="H63">
        <v>30</v>
      </c>
      <c r="I63">
        <v>30</v>
      </c>
      <c r="J63">
        <v>30</v>
      </c>
      <c r="K63" t="s">
        <v>413</v>
      </c>
      <c r="L63">
        <v>0.75</v>
      </c>
      <c r="M63" t="s">
        <v>421</v>
      </c>
      <c r="N63" s="98" t="s">
        <v>444</v>
      </c>
      <c r="O63" s="143" t="s">
        <v>766</v>
      </c>
      <c r="P63" t="s">
        <v>413</v>
      </c>
      <c r="Q63" s="147">
        <v>426.84719999999999</v>
      </c>
      <c r="R63" s="147">
        <v>4268.4718000000003</v>
      </c>
    </row>
    <row r="71" spans="2:8" ht="18.75">
      <c r="B71" s="150" t="s">
        <v>894</v>
      </c>
      <c r="C71" s="138"/>
      <c r="D71" s="138"/>
      <c r="E71" s="138"/>
      <c r="F71" s="138"/>
      <c r="G71" s="138"/>
      <c r="H71" s="138"/>
    </row>
    <row r="72" spans="2:8" ht="20.25">
      <c r="B72" s="151"/>
      <c r="C72" s="150" t="s">
        <v>895</v>
      </c>
      <c r="D72" s="150" t="s">
        <v>896</v>
      </c>
      <c r="E72" s="150" t="s">
        <v>897</v>
      </c>
      <c r="F72" s="150"/>
      <c r="G72" s="150"/>
      <c r="H72" s="150" t="s">
        <v>898</v>
      </c>
    </row>
    <row r="73" spans="2:8" ht="18.75">
      <c r="B73" s="140" t="s">
        <v>874</v>
      </c>
      <c r="C73" s="141">
        <f>Q5</f>
        <v>73.178899999999999</v>
      </c>
      <c r="D73" s="141">
        <f>Q6</f>
        <v>157.68450000000001</v>
      </c>
      <c r="E73" s="141">
        <f t="shared" ref="E73:E85" si="0">$Q$2</f>
        <v>99.419499999999999</v>
      </c>
      <c r="F73" s="148" t="s">
        <v>899</v>
      </c>
      <c r="G73" s="148" t="s">
        <v>900</v>
      </c>
      <c r="H73" s="142">
        <f t="shared" ref="H73:H85" si="1">(D73-E73)+(E73-C73)</f>
        <v>84.505600000000015</v>
      </c>
    </row>
    <row r="74" spans="2:8" ht="18.75">
      <c r="B74" s="140" t="s">
        <v>873</v>
      </c>
      <c r="C74" s="141">
        <f>Q3</f>
        <v>82.341200000000001</v>
      </c>
      <c r="D74" s="141">
        <f>Q4</f>
        <v>160.53290000000001</v>
      </c>
      <c r="E74" s="141">
        <f t="shared" si="0"/>
        <v>99.419499999999999</v>
      </c>
      <c r="F74" s="148" t="s">
        <v>901</v>
      </c>
      <c r="G74" s="148" t="s">
        <v>902</v>
      </c>
      <c r="H74" s="142">
        <f t="shared" si="1"/>
        <v>78.191700000000012</v>
      </c>
    </row>
    <row r="75" spans="2:8" ht="18.75">
      <c r="B75" s="140" t="s">
        <v>875</v>
      </c>
      <c r="C75" s="141">
        <f>Q7</f>
        <v>80.328900000000004</v>
      </c>
      <c r="D75" s="141">
        <f>Q8</f>
        <v>121.1172</v>
      </c>
      <c r="E75" s="141">
        <f t="shared" si="0"/>
        <v>99.419499999999999</v>
      </c>
      <c r="F75" s="148" t="s">
        <v>903</v>
      </c>
      <c r="G75" s="148" t="s">
        <v>904</v>
      </c>
      <c r="H75" s="142">
        <f t="shared" si="1"/>
        <v>40.788299999999992</v>
      </c>
    </row>
    <row r="76" spans="2:8" ht="18.75">
      <c r="B76" s="140" t="s">
        <v>905</v>
      </c>
      <c r="C76" s="141">
        <f>Q9</f>
        <v>96.336699999999993</v>
      </c>
      <c r="D76" s="141">
        <f>Q10</f>
        <v>122.6078</v>
      </c>
      <c r="E76" s="141">
        <f t="shared" si="0"/>
        <v>99.419499999999999</v>
      </c>
      <c r="F76" s="148" t="s">
        <v>906</v>
      </c>
      <c r="G76" s="148" t="s">
        <v>907</v>
      </c>
      <c r="H76" s="142">
        <f t="shared" si="1"/>
        <v>26.271100000000004</v>
      </c>
    </row>
    <row r="77" spans="2:8" ht="37.5">
      <c r="B77" s="140" t="s">
        <v>878</v>
      </c>
      <c r="C77" s="141">
        <f>Q11</f>
        <v>90.091899999999995</v>
      </c>
      <c r="D77" s="141">
        <f>Q12</f>
        <v>99.419499999999999</v>
      </c>
      <c r="E77" s="141">
        <f t="shared" si="0"/>
        <v>99.419499999999999</v>
      </c>
      <c r="F77" s="148" t="s">
        <v>766</v>
      </c>
      <c r="G77" s="148" t="s">
        <v>425</v>
      </c>
      <c r="H77" s="142">
        <f t="shared" si="1"/>
        <v>9.3276000000000039</v>
      </c>
    </row>
    <row r="78" spans="2:8" ht="18.75">
      <c r="B78" s="140" t="s">
        <v>879</v>
      </c>
      <c r="C78" s="141">
        <f>Q13</f>
        <v>97.113399999999999</v>
      </c>
      <c r="D78" s="141">
        <f>Q14</f>
        <v>102.5395</v>
      </c>
      <c r="E78" s="141">
        <f t="shared" si="0"/>
        <v>99.419499999999999</v>
      </c>
      <c r="F78" s="148" t="s">
        <v>908</v>
      </c>
      <c r="G78" s="148" t="s">
        <v>909</v>
      </c>
      <c r="H78" s="142">
        <f t="shared" si="1"/>
        <v>5.4261000000000053</v>
      </c>
    </row>
    <row r="79" spans="2:8" ht="18.75">
      <c r="B79" s="140" t="s">
        <v>882</v>
      </c>
      <c r="C79" s="141">
        <f>Q17</f>
        <v>96.704099999999997</v>
      </c>
      <c r="D79" s="141">
        <f>Q18</f>
        <v>99.419499999999999</v>
      </c>
      <c r="E79" s="141">
        <f t="shared" si="0"/>
        <v>99.419499999999999</v>
      </c>
      <c r="F79" s="148" t="s">
        <v>413</v>
      </c>
      <c r="G79" s="148" t="s">
        <v>424</v>
      </c>
      <c r="H79" s="142">
        <f t="shared" si="1"/>
        <v>2.7154000000000025</v>
      </c>
    </row>
    <row r="80" spans="2:8" ht="18.75">
      <c r="B80" s="140" t="s">
        <v>883</v>
      </c>
      <c r="C80" s="141">
        <f>Q19</f>
        <v>98.087900000000005</v>
      </c>
      <c r="D80" s="141">
        <f>Q20</f>
        <v>100.8171</v>
      </c>
      <c r="E80" s="141">
        <f t="shared" si="0"/>
        <v>99.419499999999999</v>
      </c>
      <c r="F80" s="148" t="s">
        <v>910</v>
      </c>
      <c r="G80" s="148" t="s">
        <v>911</v>
      </c>
      <c r="H80" s="142">
        <f t="shared" si="1"/>
        <v>2.7291999999999916</v>
      </c>
    </row>
    <row r="81" spans="2:8" ht="18.75">
      <c r="B81" s="140" t="s">
        <v>912</v>
      </c>
      <c r="C81" s="141">
        <f>Q15</f>
        <v>97.246300000000005</v>
      </c>
      <c r="D81" s="141">
        <f>Q18</f>
        <v>99.419499999999999</v>
      </c>
      <c r="E81" s="141">
        <f t="shared" si="0"/>
        <v>99.419499999999999</v>
      </c>
      <c r="F81" s="148" t="s">
        <v>900</v>
      </c>
      <c r="G81" s="148" t="s">
        <v>913</v>
      </c>
      <c r="H81" s="142">
        <f t="shared" si="1"/>
        <v>2.1731999999999942</v>
      </c>
    </row>
    <row r="82" spans="2:8" ht="18.75">
      <c r="B82" s="140" t="s">
        <v>884</v>
      </c>
      <c r="C82" s="141">
        <f>Q22</f>
        <v>99.419499999999999</v>
      </c>
      <c r="D82" s="141">
        <f>Q21</f>
        <v>101.33880000000001</v>
      </c>
      <c r="E82" s="141">
        <f t="shared" si="0"/>
        <v>99.419499999999999</v>
      </c>
      <c r="F82" s="148" t="s">
        <v>421</v>
      </c>
      <c r="G82" s="148" t="s">
        <v>422</v>
      </c>
      <c r="H82" s="142">
        <f t="shared" si="1"/>
        <v>1.9193000000000069</v>
      </c>
    </row>
    <row r="83" spans="2:8" ht="18.75">
      <c r="B83" s="140" t="s">
        <v>885</v>
      </c>
      <c r="C83" s="141">
        <f>Q23</f>
        <v>98.045299999999997</v>
      </c>
      <c r="D83" s="141">
        <f>Q24</f>
        <v>99.419499999999999</v>
      </c>
      <c r="E83" s="141">
        <f t="shared" si="0"/>
        <v>99.419499999999999</v>
      </c>
      <c r="F83" s="148" t="s">
        <v>891</v>
      </c>
      <c r="G83" s="148" t="s">
        <v>444</v>
      </c>
      <c r="H83" s="142">
        <f t="shared" si="1"/>
        <v>1.3742000000000019</v>
      </c>
    </row>
    <row r="84" spans="2:8" ht="18.75">
      <c r="B84" s="140" t="s">
        <v>887</v>
      </c>
      <c r="C84" s="141">
        <f>Q27</f>
        <v>98.171899999999994</v>
      </c>
      <c r="D84" s="141">
        <f>Q28</f>
        <v>99.419499999999999</v>
      </c>
      <c r="E84" s="141">
        <f t="shared" si="0"/>
        <v>99.419499999999999</v>
      </c>
      <c r="F84" s="148" t="s">
        <v>421</v>
      </c>
      <c r="G84" s="148" t="s">
        <v>422</v>
      </c>
      <c r="H84" s="142">
        <f t="shared" si="1"/>
        <v>1.2476000000000056</v>
      </c>
    </row>
    <row r="85" spans="2:8" ht="37.5">
      <c r="B85" s="140" t="s">
        <v>886</v>
      </c>
      <c r="C85" s="141">
        <f>Q26</f>
        <v>99.419499999999999</v>
      </c>
      <c r="D85" s="141">
        <f>Q25</f>
        <v>100.6477</v>
      </c>
      <c r="E85" s="141">
        <f t="shared" si="0"/>
        <v>99.419499999999999</v>
      </c>
      <c r="F85" s="148" t="s">
        <v>425</v>
      </c>
      <c r="G85" s="148" t="s">
        <v>766</v>
      </c>
      <c r="H85" s="142">
        <f t="shared" si="1"/>
        <v>1.2282000000000011</v>
      </c>
    </row>
    <row r="90" spans="2:8" ht="18.75">
      <c r="B90" s="150" t="s">
        <v>914</v>
      </c>
      <c r="C90" s="138"/>
      <c r="D90" s="138"/>
      <c r="E90" s="138"/>
      <c r="F90" s="138"/>
      <c r="G90" s="138"/>
      <c r="H90" s="138"/>
    </row>
    <row r="91" spans="2:8" ht="20.25">
      <c r="B91" s="151"/>
      <c r="C91" s="150" t="s">
        <v>895</v>
      </c>
      <c r="D91" s="150" t="s">
        <v>896</v>
      </c>
      <c r="E91" s="150" t="s">
        <v>897</v>
      </c>
      <c r="F91" s="150"/>
      <c r="G91" s="150"/>
      <c r="H91" s="150" t="s">
        <v>898</v>
      </c>
    </row>
    <row r="92" spans="2:8" ht="18.75">
      <c r="B92" s="140" t="s">
        <v>874</v>
      </c>
      <c r="C92" s="141">
        <f>Q40</f>
        <v>358.62650000000002</v>
      </c>
      <c r="D92" s="141">
        <f>Q39</f>
        <v>858.95180000000005</v>
      </c>
      <c r="E92" s="141">
        <f>$Q$36</f>
        <v>426.84719999999999</v>
      </c>
      <c r="F92" s="148" t="s">
        <v>915</v>
      </c>
      <c r="G92" s="148" t="s">
        <v>916</v>
      </c>
      <c r="H92" s="142">
        <f>(D92-E92)+(E92-C92)</f>
        <v>500.32530000000003</v>
      </c>
    </row>
    <row r="93" spans="2:8" ht="18.75">
      <c r="B93" s="140" t="s">
        <v>873</v>
      </c>
      <c r="C93" s="141">
        <f>Q38</f>
        <v>392.18380000000002</v>
      </c>
      <c r="D93" s="141">
        <f>Q37</f>
        <v>584.1585</v>
      </c>
      <c r="E93" s="141">
        <f t="shared" ref="E93:E99" si="2">$Q$36</f>
        <v>426.84719999999999</v>
      </c>
      <c r="F93" s="148" t="s">
        <v>917</v>
      </c>
      <c r="G93" s="148" t="s">
        <v>918</v>
      </c>
      <c r="H93" s="142">
        <f t="shared" ref="H93:H99" si="3">(D93-E93)+(E93-C93)</f>
        <v>191.97469999999998</v>
      </c>
    </row>
    <row r="94" spans="2:8" ht="18.75">
      <c r="B94" s="140" t="s">
        <v>875</v>
      </c>
      <c r="C94" s="141">
        <f>Q41</f>
        <v>349.14069999999998</v>
      </c>
      <c r="D94" s="141">
        <f>Q42</f>
        <v>472.58760000000001</v>
      </c>
      <c r="E94" s="141">
        <f t="shared" si="2"/>
        <v>426.84719999999999</v>
      </c>
      <c r="F94" s="148" t="s">
        <v>903</v>
      </c>
      <c r="G94" s="148" t="s">
        <v>919</v>
      </c>
      <c r="H94" s="142">
        <f t="shared" si="3"/>
        <v>123.44690000000003</v>
      </c>
    </row>
    <row r="95" spans="2:8" ht="18.75">
      <c r="B95" s="140" t="s">
        <v>879</v>
      </c>
      <c r="C95" s="141">
        <f>Q47</f>
        <v>369.97140000000002</v>
      </c>
      <c r="D95" s="141">
        <f>Q48</f>
        <v>483.72300000000001</v>
      </c>
      <c r="E95" s="141">
        <f t="shared" si="2"/>
        <v>426.84719999999999</v>
      </c>
      <c r="F95" s="148" t="s">
        <v>920</v>
      </c>
      <c r="G95" s="148" t="s">
        <v>921</v>
      </c>
      <c r="H95" s="142">
        <f t="shared" si="3"/>
        <v>113.7516</v>
      </c>
    </row>
    <row r="96" spans="2:8" ht="18.75">
      <c r="B96" s="140" t="s">
        <v>885</v>
      </c>
      <c r="C96" s="141">
        <f>Q57</f>
        <v>362.8306</v>
      </c>
      <c r="D96" s="141">
        <f>Q58</f>
        <v>426.84719999999999</v>
      </c>
      <c r="E96" s="141">
        <f t="shared" si="2"/>
        <v>426.84719999999999</v>
      </c>
      <c r="F96" s="148" t="s">
        <v>891</v>
      </c>
      <c r="G96" s="148" t="s">
        <v>444</v>
      </c>
      <c r="H96" s="142">
        <f t="shared" si="3"/>
        <v>64.016599999999983</v>
      </c>
    </row>
    <row r="97" spans="2:18" ht="18.75">
      <c r="B97" s="140" t="s">
        <v>80</v>
      </c>
      <c r="C97" s="141">
        <f>Q62</f>
        <v>426.84719999999999</v>
      </c>
      <c r="D97" s="141">
        <f>Q61</f>
        <v>442.44130000000001</v>
      </c>
      <c r="E97" s="141">
        <f t="shared" si="2"/>
        <v>426.84719999999999</v>
      </c>
      <c r="F97" s="148" t="s">
        <v>413</v>
      </c>
      <c r="G97" s="148" t="s">
        <v>893</v>
      </c>
      <c r="H97" s="142">
        <f t="shared" si="3"/>
        <v>15.594100000000026</v>
      </c>
    </row>
    <row r="98" spans="2:18" ht="18.75">
      <c r="B98" s="140" t="s">
        <v>882</v>
      </c>
      <c r="C98" s="141">
        <f>Q52</f>
        <v>426.84719999999999</v>
      </c>
      <c r="D98" s="141">
        <f>Q51</f>
        <v>444.15289999999999</v>
      </c>
      <c r="E98" s="141">
        <f t="shared" si="2"/>
        <v>426.84719999999999</v>
      </c>
      <c r="F98" s="148" t="s">
        <v>413</v>
      </c>
      <c r="G98" s="148" t="s">
        <v>424</v>
      </c>
      <c r="H98" s="142">
        <f t="shared" si="3"/>
        <v>17.305700000000002</v>
      </c>
    </row>
    <row r="99" spans="2:18" ht="18.75">
      <c r="B99" s="140" t="s">
        <v>884</v>
      </c>
      <c r="C99" s="141">
        <f>Q56</f>
        <v>426.84719999999999</v>
      </c>
      <c r="D99" s="141">
        <f>Q55</f>
        <v>435.41919999999999</v>
      </c>
      <c r="E99" s="141">
        <f t="shared" si="2"/>
        <v>426.84719999999999</v>
      </c>
      <c r="F99" s="148" t="s">
        <v>421</v>
      </c>
      <c r="G99" s="148" t="s">
        <v>422</v>
      </c>
      <c r="H99" s="142">
        <f t="shared" si="3"/>
        <v>8.5720000000000027</v>
      </c>
    </row>
    <row r="108" spans="2:18">
      <c r="Q108" s="138"/>
      <c r="R108" s="138"/>
    </row>
  </sheetData>
  <autoFilter ref="B72:H85" xr:uid="{28F41800-5F15-2947-A8B2-8772B8C9B93B}"/>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7" r:id="rId4" name="Button 5">
              <controlPr defaultSize="0" print="0" autoFill="0" autoPict="0" macro="[0]!Module2.LPSH_sensitivity_simulate" altText="L-PSH Sensitivity">
                <anchor moveWithCells="1" sizeWithCells="1">
                  <from>
                    <xdr:col>19</xdr:col>
                    <xdr:colOff>9525</xdr:colOff>
                    <xdr:row>4</xdr:row>
                    <xdr:rowOff>38100</xdr:rowOff>
                  </from>
                  <to>
                    <xdr:col>23</xdr:col>
                    <xdr:colOff>66675</xdr:colOff>
                    <xdr:row>7</xdr:row>
                    <xdr:rowOff>0</xdr:rowOff>
                  </to>
                </anchor>
              </controlPr>
            </control>
          </mc:Choice>
        </mc:AlternateContent>
        <mc:AlternateContent xmlns:mc="http://schemas.openxmlformats.org/markup-compatibility/2006">
          <mc:Choice Requires="x14">
            <control shapeId="23558" r:id="rId5" name="Button 6">
              <controlPr defaultSize="0" print="0" autoFill="0" autoPict="0" macro="[0]!SPSH_sensitivity_simulate" altText="Run S-PSH Sensitivity">
                <anchor moveWithCells="1" sizeWithCells="1">
                  <from>
                    <xdr:col>19</xdr:col>
                    <xdr:colOff>66675</xdr:colOff>
                    <xdr:row>37</xdr:row>
                    <xdr:rowOff>0</xdr:rowOff>
                  </from>
                  <to>
                    <xdr:col>23</xdr:col>
                    <xdr:colOff>114300</xdr:colOff>
                    <xdr:row>39</xdr:row>
                    <xdr:rowOff>104775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1D7978D1E43DE4EA43DBD7340A406DC" ma:contentTypeVersion="17" ma:contentTypeDescription="Create a new document." ma:contentTypeScope="" ma:versionID="6b757b8accfae3ecfaf8cb9d9530eb47">
  <xsd:schema xmlns:xsd="http://www.w3.org/2001/XMLSchema" xmlns:xs="http://www.w3.org/2001/XMLSchema" xmlns:p="http://schemas.microsoft.com/office/2006/metadata/properties" xmlns:ns2="d382aed9-cc96-421a-b6d1-bad087b40ea5" xmlns:ns3="3c3bb480-5c86-45a4-be90-daa3829a93c5" targetNamespace="http://schemas.microsoft.com/office/2006/metadata/properties" ma:root="true" ma:fieldsID="5a29bbbbb0736bd88c7c2c136261df7c" ns2:_="" ns3:_="">
    <xsd:import namespace="d382aed9-cc96-421a-b6d1-bad087b40ea5"/>
    <xsd:import namespace="3c3bb480-5c86-45a4-be90-daa3829a93c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GenerationTime" minOccurs="0"/>
                <xsd:element ref="ns2:MediaServiceEventHashCode" minOccurs="0"/>
                <xsd:element ref="ns2:MediaServiceOCR"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382aed9-cc96-421a-b6d1-bad087b40e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Location" ma:index="12" nillable="true" ma:displayName="Location" ma:internalName="MediaServiceLocatio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7834da80-57da-4863-8816-2e6886d1e860"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c3bb480-5c86-45a4-be90-daa3829a93c5"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89e2f827-ef00-4aee-ab4f-844bd54649e5}" ma:internalName="TaxCatchAll" ma:showField="CatchAllData" ma:web="3c3bb480-5c86-45a4-be90-daa3829a93c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382aed9-cc96-421a-b6d1-bad087b40ea5">
      <Terms xmlns="http://schemas.microsoft.com/office/infopath/2007/PartnerControls"/>
    </lcf76f155ced4ddcb4097134ff3c332f>
    <TaxCatchAll xmlns="3c3bb480-5c86-45a4-be90-daa3829a93c5" xsi:nil="true"/>
  </documentManagement>
</p:properties>
</file>

<file path=customXml/itemProps1.xml><?xml version="1.0" encoding="utf-8"?>
<ds:datastoreItem xmlns:ds="http://schemas.openxmlformats.org/officeDocument/2006/customXml" ds:itemID="{10F449D7-2362-4255-AA36-82021368FE93}"/>
</file>

<file path=customXml/itemProps2.xml><?xml version="1.0" encoding="utf-8"?>
<ds:datastoreItem xmlns:ds="http://schemas.openxmlformats.org/officeDocument/2006/customXml" ds:itemID="{313007A7-D097-459E-BFC8-AA7C10082268}"/>
</file>

<file path=customXml/itemProps3.xml><?xml version="1.0" encoding="utf-8"?>
<ds:datastoreItem xmlns:ds="http://schemas.openxmlformats.org/officeDocument/2006/customXml" ds:itemID="{D4A741D7-2C06-4ED7-AF09-32875B1CC4B1}"/>
</file>

<file path=docProps/app.xml><?xml version="1.0" encoding="utf-8"?>
<Properties xmlns="http://schemas.openxmlformats.org/officeDocument/2006/extended-properties" xmlns:vt="http://schemas.openxmlformats.org/officeDocument/2006/docPropsVTypes">
  <Application>Microsoft Excel Online</Application>
  <Manager/>
  <Company>HDR, Inc.</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Weber, Martin</dc:creator>
  <cp:keywords/>
  <dc:description/>
  <cp:lastModifiedBy/>
  <cp:revision/>
  <dcterms:created xsi:type="dcterms:W3CDTF">2022-02-08T16:50:00Z</dcterms:created>
  <dcterms:modified xsi:type="dcterms:W3CDTF">2024-04-03T19:44:05Z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0x010100E1D7978D1E43DE4EA43DBD7340A406DC</vt:lpwstr>
  </property>
  <property fmtid="{D5CDD505-2E9C-101B-9397-08002B2CF9AE}" pid="3" name="MediaServiceImageTags">
    <vt:lpwstr/>
  </property>
  <property fmtid="{D5CDD505-2E9C-101B-9397-08002B2CF9AE}" pid="4" name="MSIP_Label_95965d95-ecc0-4720-b759-1f33c42ed7da_Enabled">
    <vt:lpwstr>true</vt:lpwstr>
  </property>
  <property fmtid="{D5CDD505-2E9C-101B-9397-08002B2CF9AE}" pid="5" name="MSIP_Label_95965d95-ecc0-4720-b759-1f33c42ed7da_SetDate">
    <vt:lpwstr>2023-11-17T18:21:41Z</vt:lpwstr>
  </property>
  <property fmtid="{D5CDD505-2E9C-101B-9397-08002B2CF9AE}" pid="6" name="MSIP_Label_95965d95-ecc0-4720-b759-1f33c42ed7da_Method">
    <vt:lpwstr>Standard</vt:lpwstr>
  </property>
  <property fmtid="{D5CDD505-2E9C-101B-9397-08002B2CF9AE}" pid="7" name="MSIP_Label_95965d95-ecc0-4720-b759-1f33c42ed7da_Name">
    <vt:lpwstr>General</vt:lpwstr>
  </property>
  <property fmtid="{D5CDD505-2E9C-101B-9397-08002B2CF9AE}" pid="8" name="MSIP_Label_95965d95-ecc0-4720-b759-1f33c42ed7da_SiteId">
    <vt:lpwstr>a0f29d7e-28cd-4f54-8442-7885aee7c080</vt:lpwstr>
  </property>
  <property fmtid="{D5CDD505-2E9C-101B-9397-08002B2CF9AE}" pid="9" name="MSIP_Label_95965d95-ecc0-4720-b759-1f33c42ed7da_ActionId">
    <vt:lpwstr>9f79e247-e5bd-459e-b08b-424c9e218558</vt:lpwstr>
  </property>
  <property fmtid="{D5CDD505-2E9C-101B-9397-08002B2CF9AE}" pid="10" name="MSIP_Label_95965d95-ecc0-4720-b759-1f33c42ed7da_ContentBits">
    <vt:lpwstr>0</vt:lpwstr>
  </property>
</Properties>
</file>